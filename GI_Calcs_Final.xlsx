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queryTables/queryTable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oneyma/Library/Mobile Documents/com~apple~CloudDocs/Documents/UBC/Yr2/CHEM211/LAB211/Report/"/>
    </mc:Choice>
  </mc:AlternateContent>
  <xr:revisionPtr revIDLastSave="0" documentId="13_ncr:1_{42D3CBC2-E5C0-DC4B-A68B-F6A3DF3B3A9C}" xr6:coauthVersionLast="47" xr6:coauthVersionMax="47" xr10:uidLastSave="{00000000-0000-0000-0000-000000000000}"/>
  <bookViews>
    <workbookView xWindow="4440" yWindow="2180" windowWidth="25800" windowHeight="15940" activeTab="1" xr2:uid="{39160339-4E40-2444-9919-E9F3CE4EDF7A}"/>
  </bookViews>
  <sheets>
    <sheet name="Thermo" sheetId="1" r:id="rId1"/>
    <sheet name="Kinetics" sheetId="2" r:id="rId2"/>
    <sheet name="Std1csv" sheetId="3" r:id="rId3"/>
    <sheet name="Std2csv" sheetId="4" r:id="rId4"/>
    <sheet name="Std3csv" sheetId="5" r:id="rId5"/>
    <sheet name="Std4csv" sheetId="6" r:id="rId6"/>
  </sheets>
  <definedNames>
    <definedName name="standard1" localSheetId="2">Std1csv!$B$2:$E$94</definedName>
    <definedName name="std2_" localSheetId="3">Std2csv!$B$2:$E$94</definedName>
    <definedName name="std3_" localSheetId="4">Std3csv!$B$2:$E$94</definedName>
    <definedName name="std4_" localSheetId="5">Std4csv!$B$2:$E$94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J6" i="2"/>
  <c r="E15" i="1"/>
  <c r="C9" i="2"/>
  <c r="C8" i="2"/>
  <c r="C7" i="2"/>
  <c r="C6" i="2"/>
  <c r="J15" i="1"/>
  <c r="D16" i="1"/>
  <c r="D15" i="1"/>
  <c r="F15" i="1" s="1"/>
  <c r="I6" i="2"/>
  <c r="E6" i="2"/>
  <c r="G6" i="2" s="1"/>
  <c r="C7" i="1"/>
  <c r="K15" i="1"/>
  <c r="G15" i="1" l="1"/>
  <c r="E17" i="1"/>
  <c r="E16" i="1"/>
  <c r="G16" i="1" l="1"/>
  <c r="G17" i="1"/>
  <c r="F16" i="1"/>
  <c r="D17" i="1"/>
  <c r="F17" i="1" s="1"/>
  <c r="L15" i="1"/>
  <c r="C8" i="1"/>
  <c r="C9" i="1"/>
  <c r="C10" i="1"/>
  <c r="C11" i="1"/>
  <c r="E9" i="2"/>
  <c r="E8" i="2"/>
  <c r="E7" i="2"/>
  <c r="F37" i="5" l="1"/>
  <c r="D8" i="2" s="1"/>
  <c r="F8" i="2" s="1"/>
  <c r="G8" i="2" s="1"/>
  <c r="F37" i="3"/>
  <c r="D6" i="2" s="1"/>
  <c r="F6" i="2" s="1"/>
  <c r="F37" i="6"/>
  <c r="D9" i="2" s="1"/>
  <c r="F9" i="2" s="1"/>
  <c r="G9" i="2" s="1"/>
  <c r="F37" i="4"/>
  <c r="D7" i="2" s="1"/>
  <c r="F7" i="2" s="1"/>
  <c r="G7" i="2" s="1"/>
  <c r="G11" i="2" s="1"/>
  <c r="H1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954A3-B38E-3943-A248-B21C9D15284E}" name="standard1" type="6" refreshedVersion="8" background="1" saveData="1">
    <textPr sourceFile="/Users/jhoneyma/Library/Mobile Documents/com~apple~CloudDocs/Documents/UBC/Yr2/CHEM211/LAB211/GI_data/standard1.csv" tab="0" comma="1">
      <textFields count="3">
        <textField/>
        <textField/>
        <textField/>
      </textFields>
    </textPr>
  </connection>
  <connection id="2" xr16:uid="{8BEFD308-4FE5-C64F-B2B4-590AEBC75505}" name="std2" type="6" refreshedVersion="8" background="1" saveData="1">
    <textPr sourceFile="/Users/jhoneyma/Library/Mobile Documents/com~apple~CloudDocs/Documents/UBC/Yr2/CHEM211/LAB211/GI_data/std2.csv" comma="1">
      <textFields count="3">
        <textField/>
        <textField/>
        <textField/>
      </textFields>
    </textPr>
  </connection>
  <connection id="3" xr16:uid="{404A8D30-A29F-AE46-B3EF-6677EDBCA67E}" name="std3" type="6" refreshedVersion="8" background="1" saveData="1">
    <textPr sourceFile="/Users/jhoneyma/Library/Mobile Documents/com~apple~CloudDocs/Documents/UBC/Yr2/CHEM211/LAB211/GI_data/std3.csv" tab="0" comma="1">
      <textFields count="3">
        <textField/>
        <textField/>
        <textField/>
      </textFields>
    </textPr>
  </connection>
  <connection id="4" xr16:uid="{AE206B5E-0DC8-5B4A-ABCE-C2C6B8470B73}" name="std4" type="6" refreshedVersion="8" background="1" saveData="1">
    <textPr sourceFile="/Users/jhoneyma/Library/Mobile Documents/com~apple~CloudDocs/Documents/UBC/Yr2/CHEM211/LAB211/GI_data/std4.csv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<sst xmlns="http://schemas.openxmlformats.org/spreadsheetml/2006/main" count="270" uniqueCount="99">
  <si>
    <t>Kinetics</t>
  </si>
  <si>
    <t>04/11/2025 17:58:57</t>
  </si>
  <si>
    <t>Lambda XLS+</t>
  </si>
  <si>
    <t>04/11/2025</t>
  </si>
  <si>
    <t>Product</t>
  </si>
  <si>
    <t>Version</t>
  </si>
  <si>
    <t>8283 V1.1.0</t>
  </si>
  <si>
    <t>Serial Number</t>
  </si>
  <si>
    <t>Date</t>
  </si>
  <si>
    <t>Time</t>
  </si>
  <si>
    <t>Instrument Calibration Pass</t>
  </si>
  <si>
    <t>Wavelength</t>
  </si>
  <si>
    <t>597 nm</t>
  </si>
  <si>
    <t>Factor</t>
  </si>
  <si>
    <t>Units</t>
  </si>
  <si>
    <t>Mode</t>
  </si>
  <si>
    <t>Final A</t>
  </si>
  <si>
    <t>Delay Time</t>
  </si>
  <si>
    <t>2 Seconds</t>
  </si>
  <si>
    <t>Duration</t>
  </si>
  <si>
    <t>1 Minutes</t>
  </si>
  <si>
    <t>Interval</t>
  </si>
  <si>
    <t>1 Seconds</t>
  </si>
  <si>
    <t>Data Points</t>
  </si>
  <si>
    <t>Sample</t>
  </si>
  <si>
    <t>A0</t>
  </si>
  <si>
    <t>An</t>
  </si>
  <si>
    <t>dA</t>
  </si>
  <si>
    <t>A</t>
  </si>
  <si>
    <t>Slope</t>
  </si>
  <si>
    <t>Result</t>
  </si>
  <si>
    <t>R2</t>
  </si>
  <si>
    <t>dA/m</t>
  </si>
  <si>
    <t>Cursor</t>
  </si>
  <si>
    <t>Absorbance</t>
  </si>
  <si>
    <t>hh:mm:ss</t>
  </si>
  <si>
    <t>Time (Minutes)</t>
  </si>
  <si>
    <t>Absorbance (A)</t>
  </si>
  <si>
    <t>04/11/2025 18:05:42</t>
  </si>
  <si>
    <t>04/11/2025 18:13:17</t>
  </si>
  <si>
    <t>04/11/2025 18:16:14</t>
  </si>
  <si>
    <t>INITIAL RATE</t>
  </si>
  <si>
    <t>Solution #</t>
  </si>
  <si>
    <t>Log Conc</t>
  </si>
  <si>
    <t>Log Rate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</si>
  <si>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</si>
  <si>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</si>
  <si>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</si>
  <si>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</si>
  <si>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</si>
  <si>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</si>
  <si>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</si>
  <si>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</si>
  <si>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</si>
  <si>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</si>
  <si>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</si>
  <si>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</si>
  <si>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</si>
  <si>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</si>
  <si>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</si>
  <si>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</si>
  <si>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</si>
  <si>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</si>
  <si>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</si>
  <si>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</si>
  <si>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</si>
  <si>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</si>
  <si>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</si>
  <si>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</si>
  <si>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</si>
  <si>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Calibration Curve</t>
  </si>
  <si>
    <t>Blank</t>
  </si>
  <si>
    <t>FeSO4 standard Info</t>
  </si>
  <si>
    <t>Mass of FeSO4 7H2O used</t>
  </si>
  <si>
    <t>Conc of Fe2+(M)</t>
  </si>
  <si>
    <t>Abs at 597nm</t>
  </si>
  <si>
    <t>Vol of Stock (µL)</t>
  </si>
  <si>
    <t>Samples</t>
  </si>
  <si>
    <t>Cranberry</t>
  </si>
  <si>
    <t>Green Tea</t>
  </si>
  <si>
    <t>Cloves</t>
  </si>
  <si>
    <t>%Fe3+ reduced</t>
  </si>
  <si>
    <t>Molar Absortivity Fe(TPTZ)2 2+ (L mol^-1 cm^-1)</t>
  </si>
  <si>
    <t>Error (±)</t>
  </si>
  <si>
    <t>95% CI</t>
  </si>
  <si>
    <t>Concentration(µM)</t>
  </si>
  <si>
    <t>Conc Fe2+ in standard (M)</t>
  </si>
  <si>
    <t>95% CI (±)</t>
  </si>
  <si>
    <t>Fe3+ conc in FRAP (mM)</t>
  </si>
  <si>
    <t>Rate Order</t>
  </si>
  <si>
    <t>Rate Constant (from calibration curve)</t>
  </si>
  <si>
    <t>Rate Constant (a=1)</t>
  </si>
  <si>
    <t>Average rate constant</t>
  </si>
  <si>
    <t>Ascorbic Acid Stock (M)</t>
  </si>
  <si>
    <t>± CI (95%)</t>
  </si>
  <si>
    <t>95% CI (±) (Abs)</t>
  </si>
  <si>
    <t>Rate (mM min^-1)</t>
  </si>
  <si>
    <t>Conc (mM)</t>
  </si>
  <si>
    <t>Rate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</si>
</sst>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1" fontId="0" fillId="0" borderId="0" xfId="0" applyNumberFormat="1"/>
    <xf numFmtId="15" fontId="0" fillId="0" borderId="0" xfId="0" applyNumberFormat="1"/>
    <xf numFmtId="22" fontId="0" fillId="0" borderId="0" xfId="0" applyNumberFormat="1"/>
    <xf numFmtId="0" fontId="1" fillId="0" borderId="0" xfId="0" applyFont="1"/>
    <xf numFmtId="0" fontId="3" fillId="2" borderId="0" xfId="0" applyFont="1" applyFill="1"/>
    <xf numFmtId="0" fontId="3" fillId="0" borderId="0" xfId="0" applyFont="1"/>
    <xf numFmtId="0" fontId="0" fillId="3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Border="1"/>
    <xf numFmtId="0" fontId="2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Calibration</a:t>
            </a:r>
            <a:r>
              <a:rPr lang="en-US" baseline="0"/>
              <a:t> Curve of Fe2+ Absorbance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429833770778648"/>
                  <c:y val="-1.8935185185185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Thermo!$C$6:$C$11</c:f>
              <c:numCache>
                <c:formatCode>General</c:formatCode>
                <c:ptCount val="6"/>
                <c:pt idx="0">
                  <c:v>0</c:v>
                </c:pt>
                <c:pt idx="1">
                  <c:v>6.0720000000000005E-6</c:v>
                </c:pt>
                <c:pt idx="2">
                  <c:v>1.2144000000000001E-5</c:v>
                </c:pt>
                <c:pt idx="3">
                  <c:v>1.8216E-5</c:v>
                </c:pt>
                <c:pt idx="4">
                  <c:v>2.4288000000000002E-5</c:v>
                </c:pt>
                <c:pt idx="5">
                  <c:v>3.0360000000000001E-5</c:v>
                </c:pt>
              </c:numCache>
            </c:numRef>
          </c:xVal>
          <c:yVal>
            <c:numRef>
              <c:f>Thermo!$D$6:$D$11</c:f>
              <c:numCache>
                <c:formatCode>General</c:formatCode>
                <c:ptCount val="6"/>
                <c:pt idx="0">
                  <c:v>0</c:v>
                </c:pt>
                <c:pt idx="1">
                  <c:v>0.129</c:v>
                </c:pt>
                <c:pt idx="2">
                  <c:v>0.26100000000000001</c:v>
                </c:pt>
                <c:pt idx="3">
                  <c:v>0.4</c:v>
                </c:pt>
                <c:pt idx="4">
                  <c:v>0.53100000000000003</c:v>
                </c:pt>
                <c:pt idx="5">
                  <c:v>0.65700000000000003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D-F944-BCC0-E486F383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85551"/>
        <c:axId val="603587263"/>
      </c:scatterChart>
      <c:valAx>
        <c:axId val="60358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  <a:r>
                  <a:rPr lang="en-US" baseline="0"/>
                  <a:t> of Fe2+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87263"/>
        <c:crosses val="autoZero"/>
        <c:crossBetween val="midCat"/>
      </c:valAx>
      <c:valAx>
        <c:axId val="603587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8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Linearized</a:t>
            </a:r>
            <a:r>
              <a:rPr lang="en-US" baseline="0"/>
              <a:t> Rate of Reaction for Reduction of Fe (II) with Ascorbic Acid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398408739444523"/>
                  <c:y val="0.102616100846570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Kinetics!$E$6:$E$9</c:f>
              <c:numCache>
                <c:formatCode>General</c:formatCode>
                <c:ptCount val="4"/>
                <c:pt idx="0">
                  <c:v>-2.7162829795156207</c:v>
                </c:pt>
                <c:pt idx="1">
                  <c:v>-2.3612147731667701</c:v>
                </c:pt>
                <c:pt idx="2">
                  <c:v>-2.1605840847967195</c:v>
                </c:pt>
                <c:pt idx="3">
                  <c:v>-2.0698792532925512</c:v>
                </c:pt>
              </c:numCache>
            </c:numRef>
          </c:xVal>
          <c:yVal>
            <c:numRef>
              <c:f>Kinetics!$F$6:$F$9</c:f>
              <c:numCache>
                <c:formatCode>General</c:formatCode>
                <c:ptCount val="4"/>
                <c:pt idx="0">
                  <c:v>-0.87559031249772112</c:v>
                </c:pt>
                <c:pt idx="1">
                  <c:v>-0.50833199127477247</c:v>
                </c:pt>
                <c:pt idx="2">
                  <c:v>-0.26974392767097211</c:v>
                </c:pt>
                <c:pt idx="3">
                  <c:v>-9.7532029507477691E-2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62-EF49-8E00-F53B59E23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35119"/>
        <c:axId val="229088783"/>
      </c:scatterChart>
      <c:valAx>
        <c:axId val="229435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(concentration)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88783"/>
        <c:crosses val="autoZero"/>
        <c:crossBetween val="midCat"/>
      </c:valAx>
      <c:valAx>
        <c:axId val="229088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Log(rate)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3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Std1csv!$B$33:$B$81</c:f>
              <c:numCache>
                <c:formatCode>General</c:formatCode>
                <c:ptCount val="49"/>
                <c:pt idx="0">
                  <c:v>0</c:v>
                </c:pt>
                <c:pt idx="1">
                  <c:v>1.66667E-2</c:v>
                </c:pt>
                <c:pt idx="2">
                  <c:v>3.3333399999999999E-2</c:v>
                </c:pt>
                <c:pt idx="3">
                  <c:v>5.0000099999999999E-2</c:v>
                </c:pt>
                <c:pt idx="4">
                  <c:v>6.6666799999999998E-2</c:v>
                </c:pt>
                <c:pt idx="5">
                  <c:v>8.3333489999999996E-2</c:v>
                </c:pt>
                <c:pt idx="6">
                  <c:v>0.1000002</c:v>
                </c:pt>
                <c:pt idx="7">
                  <c:v>0.1166669</c:v>
                </c:pt>
                <c:pt idx="8">
                  <c:v>0.1333336</c:v>
                </c:pt>
                <c:pt idx="9">
                  <c:v>0.1500003</c:v>
                </c:pt>
                <c:pt idx="10">
                  <c:v>0.16666700000000001</c:v>
                </c:pt>
                <c:pt idx="11">
                  <c:v>0.18333369999999999</c:v>
                </c:pt>
                <c:pt idx="12">
                  <c:v>0.20000039999999999</c:v>
                </c:pt>
                <c:pt idx="13">
                  <c:v>0.2166671</c:v>
                </c:pt>
                <c:pt idx="14">
                  <c:v>0.23333380000000001</c:v>
                </c:pt>
                <c:pt idx="15">
                  <c:v>0.25000040000000001</c:v>
                </c:pt>
                <c:pt idx="16">
                  <c:v>0.26666719999999999</c:v>
                </c:pt>
                <c:pt idx="17">
                  <c:v>0.28333390000000003</c:v>
                </c:pt>
                <c:pt idx="18">
                  <c:v>0.30000060000000001</c:v>
                </c:pt>
                <c:pt idx="19">
                  <c:v>0.31666729999999998</c:v>
                </c:pt>
                <c:pt idx="20">
                  <c:v>0.33333400000000002</c:v>
                </c:pt>
                <c:pt idx="21">
                  <c:v>0.3500007</c:v>
                </c:pt>
                <c:pt idx="22">
                  <c:v>0.36666739999999998</c:v>
                </c:pt>
                <c:pt idx="23">
                  <c:v>0.38333410000000001</c:v>
                </c:pt>
                <c:pt idx="24">
                  <c:v>0.40000079999999999</c:v>
                </c:pt>
                <c:pt idx="25">
                  <c:v>0.41666760000000003</c:v>
                </c:pt>
                <c:pt idx="26">
                  <c:v>0.43333430000000001</c:v>
                </c:pt>
                <c:pt idx="27">
                  <c:v>0.45000099999999998</c:v>
                </c:pt>
                <c:pt idx="28">
                  <c:v>0.46666770000000002</c:v>
                </c:pt>
                <c:pt idx="29">
                  <c:v>0.4833344</c:v>
                </c:pt>
                <c:pt idx="30">
                  <c:v>0.50000109999999998</c:v>
                </c:pt>
                <c:pt idx="31">
                  <c:v>0.51666780000000001</c:v>
                </c:pt>
                <c:pt idx="32">
                  <c:v>0.53333450000000004</c:v>
                </c:pt>
                <c:pt idx="33">
                  <c:v>0.55000119999999997</c:v>
                </c:pt>
                <c:pt idx="34">
                  <c:v>0.5666679</c:v>
                </c:pt>
                <c:pt idx="35">
                  <c:v>0.58333460000000004</c:v>
                </c:pt>
                <c:pt idx="36">
                  <c:v>0.60000129999999996</c:v>
                </c:pt>
                <c:pt idx="37">
                  <c:v>0.61666799999999999</c:v>
                </c:pt>
                <c:pt idx="38">
                  <c:v>0.63333479999999998</c:v>
                </c:pt>
                <c:pt idx="39">
                  <c:v>0.65000150000000001</c:v>
                </c:pt>
                <c:pt idx="40">
                  <c:v>0.66666820000000004</c:v>
                </c:pt>
                <c:pt idx="41">
                  <c:v>0.68333489999999997</c:v>
                </c:pt>
                <c:pt idx="42">
                  <c:v>0.7000016</c:v>
                </c:pt>
                <c:pt idx="43">
                  <c:v>0.71666830000000004</c:v>
                </c:pt>
                <c:pt idx="44">
                  <c:v>0.73333499999999996</c:v>
                </c:pt>
                <c:pt idx="45">
                  <c:v>0.75000169999999999</c:v>
                </c:pt>
                <c:pt idx="46">
                  <c:v>0.76666840000000003</c:v>
                </c:pt>
                <c:pt idx="47">
                  <c:v>0.78333509999999995</c:v>
                </c:pt>
                <c:pt idx="48">
                  <c:v>0.80000190000000004</c:v>
                </c:pt>
              </c:numCache>
            </c:numRef>
          </c:xVal>
          <c:yVal>
            <c:numRef>
              <c:f>Std1csv!$C$33:$C$81</c:f>
              <c:numCache>
                <c:formatCode>General</c:formatCode>
                <c:ptCount val="49"/>
                <c:pt idx="0">
                  <c:v>2.7080199999999999E-2</c:v>
                </c:pt>
                <c:pt idx="1">
                  <c:v>7.5435100000000005E-2</c:v>
                </c:pt>
                <c:pt idx="2">
                  <c:v>7.3329599999999995E-2</c:v>
                </c:pt>
                <c:pt idx="3">
                  <c:v>7.6063500000000006E-2</c:v>
                </c:pt>
                <c:pt idx="4">
                  <c:v>7.6242900000000002E-2</c:v>
                </c:pt>
                <c:pt idx="5">
                  <c:v>7.7297400000000002E-2</c:v>
                </c:pt>
                <c:pt idx="6">
                  <c:v>7.86916E-2</c:v>
                </c:pt>
                <c:pt idx="7">
                  <c:v>7.8080700000000003E-2</c:v>
                </c:pt>
                <c:pt idx="8">
                  <c:v>8.1312700000000002E-2</c:v>
                </c:pt>
                <c:pt idx="9">
                  <c:v>8.1837199999999999E-2</c:v>
                </c:pt>
                <c:pt idx="10">
                  <c:v>8.2166500000000003E-2</c:v>
                </c:pt>
                <c:pt idx="11">
                  <c:v>7.9187199999999999E-2</c:v>
                </c:pt>
                <c:pt idx="12">
                  <c:v>7.9335699999999995E-2</c:v>
                </c:pt>
                <c:pt idx="13">
                  <c:v>8.06259E-2</c:v>
                </c:pt>
                <c:pt idx="14">
                  <c:v>8.2192299999999996E-2</c:v>
                </c:pt>
                <c:pt idx="15">
                  <c:v>8.1803000000000001E-2</c:v>
                </c:pt>
                <c:pt idx="16">
                  <c:v>8.3963999999999997E-2</c:v>
                </c:pt>
                <c:pt idx="17">
                  <c:v>8.5273699999999994E-2</c:v>
                </c:pt>
                <c:pt idx="18">
                  <c:v>8.6165000000000005E-2</c:v>
                </c:pt>
                <c:pt idx="19">
                  <c:v>8.5739899999999994E-2</c:v>
                </c:pt>
                <c:pt idx="20">
                  <c:v>8.6829799999999999E-2</c:v>
                </c:pt>
                <c:pt idx="21">
                  <c:v>8.7070099999999997E-2</c:v>
                </c:pt>
                <c:pt idx="22">
                  <c:v>9.1217000000000006E-2</c:v>
                </c:pt>
                <c:pt idx="23">
                  <c:v>8.9430200000000001E-2</c:v>
                </c:pt>
                <c:pt idx="24">
                  <c:v>8.8651800000000003E-2</c:v>
                </c:pt>
                <c:pt idx="25">
                  <c:v>8.57797E-2</c:v>
                </c:pt>
                <c:pt idx="26">
                  <c:v>8.6652000000000007E-2</c:v>
                </c:pt>
                <c:pt idx="27">
                  <c:v>9.0311900000000001E-2</c:v>
                </c:pt>
                <c:pt idx="28">
                  <c:v>9.2908299999999999E-2</c:v>
                </c:pt>
                <c:pt idx="29">
                  <c:v>9.0627600000000003E-2</c:v>
                </c:pt>
                <c:pt idx="30">
                  <c:v>9.4895999999999994E-2</c:v>
                </c:pt>
                <c:pt idx="31">
                  <c:v>9.7485600000000006E-2</c:v>
                </c:pt>
                <c:pt idx="32">
                  <c:v>9.5754300000000001E-2</c:v>
                </c:pt>
                <c:pt idx="33">
                  <c:v>9.7422400000000006E-2</c:v>
                </c:pt>
                <c:pt idx="34">
                  <c:v>9.7427200000000005E-2</c:v>
                </c:pt>
                <c:pt idx="35">
                  <c:v>9.8448800000000003E-2</c:v>
                </c:pt>
                <c:pt idx="36">
                  <c:v>9.8005200000000001E-2</c:v>
                </c:pt>
                <c:pt idx="37">
                  <c:v>9.6512500000000001E-2</c:v>
                </c:pt>
                <c:pt idx="38">
                  <c:v>9.5091700000000001E-2</c:v>
                </c:pt>
                <c:pt idx="39">
                  <c:v>0.10112400000000001</c:v>
                </c:pt>
                <c:pt idx="40">
                  <c:v>9.47239E-2</c:v>
                </c:pt>
                <c:pt idx="41">
                  <c:v>9.4773300000000005E-2</c:v>
                </c:pt>
                <c:pt idx="42">
                  <c:v>9.8266400000000004E-2</c:v>
                </c:pt>
                <c:pt idx="43">
                  <c:v>9.72417E-2</c:v>
                </c:pt>
                <c:pt idx="44">
                  <c:v>9.4954499999999997E-2</c:v>
                </c:pt>
                <c:pt idx="45">
                  <c:v>9.4660999999999995E-2</c:v>
                </c:pt>
                <c:pt idx="46">
                  <c:v>9.7182299999999999E-2</c:v>
                </c:pt>
                <c:pt idx="47">
                  <c:v>9.3235399999999996E-2</c:v>
                </c:pt>
                <c:pt idx="48">
                  <c:v>9.5134099999999999E-2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4-DC4C-9E9F-A1A42954F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18351"/>
        <c:axId val="254110607"/>
      </c:scatterChart>
      <c:valAx>
        <c:axId val="25401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10607"/>
        <c:crosses val="autoZero"/>
        <c:crossBetween val="midCat"/>
      </c:valAx>
      <c:valAx>
        <c:axId val="25411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1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Std2csv!$B$33:$B$80</c:f>
              <c:numCache>
                <c:formatCode>General</c:formatCode>
                <c:ptCount val="48"/>
                <c:pt idx="0">
                  <c:v>0</c:v>
                </c:pt>
                <c:pt idx="1">
                  <c:v>1.66667E-2</c:v>
                </c:pt>
                <c:pt idx="2">
                  <c:v>3.3333399999999999E-2</c:v>
                </c:pt>
                <c:pt idx="3">
                  <c:v>5.0000099999999999E-2</c:v>
                </c:pt>
                <c:pt idx="4">
                  <c:v>6.6666799999999998E-2</c:v>
                </c:pt>
                <c:pt idx="5">
                  <c:v>8.3333489999999996E-2</c:v>
                </c:pt>
                <c:pt idx="6">
                  <c:v>0.1000002</c:v>
                </c:pt>
                <c:pt idx="7">
                  <c:v>0.1166669</c:v>
                </c:pt>
                <c:pt idx="8">
                  <c:v>0.1333336</c:v>
                </c:pt>
                <c:pt idx="9">
                  <c:v>0.1500003</c:v>
                </c:pt>
                <c:pt idx="10">
                  <c:v>0.16666700000000001</c:v>
                </c:pt>
                <c:pt idx="11">
                  <c:v>0.18333369999999999</c:v>
                </c:pt>
                <c:pt idx="12">
                  <c:v>0.20000039999999999</c:v>
                </c:pt>
                <c:pt idx="13">
                  <c:v>0.2166671</c:v>
                </c:pt>
                <c:pt idx="14">
                  <c:v>0.23333380000000001</c:v>
                </c:pt>
                <c:pt idx="15">
                  <c:v>0.25000040000000001</c:v>
                </c:pt>
                <c:pt idx="16">
                  <c:v>0.26666719999999999</c:v>
                </c:pt>
                <c:pt idx="17">
                  <c:v>0.28333390000000003</c:v>
                </c:pt>
                <c:pt idx="18">
                  <c:v>0.30000060000000001</c:v>
                </c:pt>
                <c:pt idx="19">
                  <c:v>0.31666729999999998</c:v>
                </c:pt>
                <c:pt idx="20">
                  <c:v>0.33333400000000002</c:v>
                </c:pt>
                <c:pt idx="21">
                  <c:v>0.3500007</c:v>
                </c:pt>
                <c:pt idx="22">
                  <c:v>0.36666739999999998</c:v>
                </c:pt>
                <c:pt idx="23">
                  <c:v>0.38333410000000001</c:v>
                </c:pt>
                <c:pt idx="24">
                  <c:v>0.40000079999999999</c:v>
                </c:pt>
                <c:pt idx="25">
                  <c:v>0.41666760000000003</c:v>
                </c:pt>
                <c:pt idx="26">
                  <c:v>0.43333430000000001</c:v>
                </c:pt>
                <c:pt idx="27">
                  <c:v>0.45000099999999998</c:v>
                </c:pt>
                <c:pt idx="28">
                  <c:v>0.46666770000000002</c:v>
                </c:pt>
                <c:pt idx="29">
                  <c:v>0.4833344</c:v>
                </c:pt>
                <c:pt idx="30">
                  <c:v>0.50000109999999998</c:v>
                </c:pt>
                <c:pt idx="31">
                  <c:v>0.51666780000000001</c:v>
                </c:pt>
                <c:pt idx="32">
                  <c:v>0.53333450000000004</c:v>
                </c:pt>
                <c:pt idx="33">
                  <c:v>0.55000119999999997</c:v>
                </c:pt>
                <c:pt idx="34">
                  <c:v>0.5666679</c:v>
                </c:pt>
                <c:pt idx="35">
                  <c:v>0.58333460000000004</c:v>
                </c:pt>
                <c:pt idx="36">
                  <c:v>0.60000129999999996</c:v>
                </c:pt>
                <c:pt idx="37">
                  <c:v>0.61666799999999999</c:v>
                </c:pt>
                <c:pt idx="38">
                  <c:v>0.63333479999999998</c:v>
                </c:pt>
                <c:pt idx="39">
                  <c:v>0.65000150000000001</c:v>
                </c:pt>
                <c:pt idx="40">
                  <c:v>0.66666820000000004</c:v>
                </c:pt>
                <c:pt idx="41">
                  <c:v>0.68333489999999997</c:v>
                </c:pt>
                <c:pt idx="42">
                  <c:v>0.7000016</c:v>
                </c:pt>
                <c:pt idx="43">
                  <c:v>0.71666830000000004</c:v>
                </c:pt>
                <c:pt idx="44">
                  <c:v>0.73333499999999996</c:v>
                </c:pt>
                <c:pt idx="45">
                  <c:v>0.75000169999999999</c:v>
                </c:pt>
                <c:pt idx="46">
                  <c:v>0.76666840000000003</c:v>
                </c:pt>
                <c:pt idx="47">
                  <c:v>0.78333509999999995</c:v>
                </c:pt>
              </c:numCache>
            </c:numRef>
          </c:xVal>
          <c:yVal>
            <c:numRef>
              <c:f>Std2csv!$C$33:$C$80</c:f>
              <c:numCache>
                <c:formatCode>General</c:formatCode>
                <c:ptCount val="48"/>
                <c:pt idx="0">
                  <c:v>6.2199400000000002E-2</c:v>
                </c:pt>
                <c:pt idx="1">
                  <c:v>0.174841</c:v>
                </c:pt>
                <c:pt idx="2">
                  <c:v>0.17307</c:v>
                </c:pt>
                <c:pt idx="3">
                  <c:v>0.17206299999999999</c:v>
                </c:pt>
                <c:pt idx="4">
                  <c:v>0.171649</c:v>
                </c:pt>
                <c:pt idx="5">
                  <c:v>0.175147</c:v>
                </c:pt>
                <c:pt idx="6">
                  <c:v>0.176008</c:v>
                </c:pt>
                <c:pt idx="7">
                  <c:v>0.17627100000000001</c:v>
                </c:pt>
                <c:pt idx="8">
                  <c:v>0.17619599999999999</c:v>
                </c:pt>
                <c:pt idx="9">
                  <c:v>0.181646</c:v>
                </c:pt>
                <c:pt idx="10">
                  <c:v>0.183253</c:v>
                </c:pt>
                <c:pt idx="11">
                  <c:v>0.183729</c:v>
                </c:pt>
                <c:pt idx="12">
                  <c:v>0.179726</c:v>
                </c:pt>
                <c:pt idx="13">
                  <c:v>0.17369899999999999</c:v>
                </c:pt>
                <c:pt idx="14">
                  <c:v>0.175093</c:v>
                </c:pt>
                <c:pt idx="15">
                  <c:v>0.172902</c:v>
                </c:pt>
                <c:pt idx="16">
                  <c:v>0.17600499999999999</c:v>
                </c:pt>
                <c:pt idx="17">
                  <c:v>0.177452</c:v>
                </c:pt>
                <c:pt idx="18">
                  <c:v>0.176903</c:v>
                </c:pt>
                <c:pt idx="19">
                  <c:v>0.180976</c:v>
                </c:pt>
                <c:pt idx="20">
                  <c:v>0.17909700000000001</c:v>
                </c:pt>
                <c:pt idx="21">
                  <c:v>0.18146300000000001</c:v>
                </c:pt>
                <c:pt idx="22">
                  <c:v>0.181227</c:v>
                </c:pt>
                <c:pt idx="23">
                  <c:v>0.180896</c:v>
                </c:pt>
                <c:pt idx="24">
                  <c:v>0.18337600000000001</c:v>
                </c:pt>
                <c:pt idx="25">
                  <c:v>0.182032</c:v>
                </c:pt>
                <c:pt idx="26">
                  <c:v>0.184056</c:v>
                </c:pt>
                <c:pt idx="27">
                  <c:v>0.18059600000000001</c:v>
                </c:pt>
                <c:pt idx="28">
                  <c:v>0.18271599999999999</c:v>
                </c:pt>
                <c:pt idx="29">
                  <c:v>0.18273700000000001</c:v>
                </c:pt>
                <c:pt idx="30">
                  <c:v>0.18421299999999999</c:v>
                </c:pt>
                <c:pt idx="31">
                  <c:v>0.186083</c:v>
                </c:pt>
                <c:pt idx="32">
                  <c:v>0.183337</c:v>
                </c:pt>
                <c:pt idx="33">
                  <c:v>0.18793299999999999</c:v>
                </c:pt>
                <c:pt idx="34">
                  <c:v>0.18991</c:v>
                </c:pt>
                <c:pt idx="35">
                  <c:v>0.187139</c:v>
                </c:pt>
                <c:pt idx="36">
                  <c:v>0.183867</c:v>
                </c:pt>
                <c:pt idx="37">
                  <c:v>0.18485499999999999</c:v>
                </c:pt>
                <c:pt idx="38">
                  <c:v>0.19237799999999999</c:v>
                </c:pt>
                <c:pt idx="39">
                  <c:v>0.18692900000000001</c:v>
                </c:pt>
                <c:pt idx="40">
                  <c:v>0.18720700000000001</c:v>
                </c:pt>
                <c:pt idx="41">
                  <c:v>0.186446</c:v>
                </c:pt>
                <c:pt idx="42">
                  <c:v>0.186302</c:v>
                </c:pt>
                <c:pt idx="43">
                  <c:v>0.187224</c:v>
                </c:pt>
                <c:pt idx="44">
                  <c:v>0.18490100000000001</c:v>
                </c:pt>
                <c:pt idx="45">
                  <c:v>0.18637200000000001</c:v>
                </c:pt>
                <c:pt idx="46">
                  <c:v>0.187921</c:v>
                </c:pt>
                <c:pt idx="47">
                  <c:v>0.185447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C-6240-BA11-60972933B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614063"/>
        <c:axId val="305107215"/>
      </c:scatterChart>
      <c:valAx>
        <c:axId val="30461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07215"/>
        <c:crosses val="autoZero"/>
        <c:crossBetween val="midCat"/>
      </c:valAx>
      <c:valAx>
        <c:axId val="3051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1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Std3csv!$B$33:$B$80</c:f>
              <c:numCache>
                <c:formatCode>General</c:formatCode>
                <c:ptCount val="48"/>
                <c:pt idx="0">
                  <c:v>0</c:v>
                </c:pt>
                <c:pt idx="1">
                  <c:v>1.66667E-2</c:v>
                </c:pt>
                <c:pt idx="2">
                  <c:v>3.3333399999999999E-2</c:v>
                </c:pt>
                <c:pt idx="3">
                  <c:v>5.0000099999999999E-2</c:v>
                </c:pt>
                <c:pt idx="4">
                  <c:v>6.6666799999999998E-2</c:v>
                </c:pt>
                <c:pt idx="5">
                  <c:v>8.3333489999999996E-2</c:v>
                </c:pt>
                <c:pt idx="6">
                  <c:v>0.1000002</c:v>
                </c:pt>
                <c:pt idx="7">
                  <c:v>0.1166669</c:v>
                </c:pt>
                <c:pt idx="8">
                  <c:v>0.1333336</c:v>
                </c:pt>
                <c:pt idx="9">
                  <c:v>0.1500003</c:v>
                </c:pt>
                <c:pt idx="10">
                  <c:v>0.16666700000000001</c:v>
                </c:pt>
                <c:pt idx="11">
                  <c:v>0.18333369999999999</c:v>
                </c:pt>
                <c:pt idx="12">
                  <c:v>0.20000039999999999</c:v>
                </c:pt>
                <c:pt idx="13">
                  <c:v>0.2166671</c:v>
                </c:pt>
                <c:pt idx="14">
                  <c:v>0.23333380000000001</c:v>
                </c:pt>
                <c:pt idx="15">
                  <c:v>0.25000040000000001</c:v>
                </c:pt>
                <c:pt idx="16">
                  <c:v>0.26666719999999999</c:v>
                </c:pt>
                <c:pt idx="17">
                  <c:v>0.28333390000000003</c:v>
                </c:pt>
                <c:pt idx="18">
                  <c:v>0.30000060000000001</c:v>
                </c:pt>
                <c:pt idx="19">
                  <c:v>0.31666729999999998</c:v>
                </c:pt>
                <c:pt idx="20">
                  <c:v>0.33333400000000002</c:v>
                </c:pt>
                <c:pt idx="21">
                  <c:v>0.3500007</c:v>
                </c:pt>
                <c:pt idx="22">
                  <c:v>0.36666739999999998</c:v>
                </c:pt>
                <c:pt idx="23">
                  <c:v>0.38333410000000001</c:v>
                </c:pt>
                <c:pt idx="24">
                  <c:v>0.40000079999999999</c:v>
                </c:pt>
                <c:pt idx="25">
                  <c:v>0.41666760000000003</c:v>
                </c:pt>
                <c:pt idx="26">
                  <c:v>0.43333430000000001</c:v>
                </c:pt>
                <c:pt idx="27">
                  <c:v>0.45000099999999998</c:v>
                </c:pt>
                <c:pt idx="28">
                  <c:v>0.46666770000000002</c:v>
                </c:pt>
                <c:pt idx="29">
                  <c:v>0.4833344</c:v>
                </c:pt>
                <c:pt idx="30">
                  <c:v>0.50000109999999998</c:v>
                </c:pt>
                <c:pt idx="31">
                  <c:v>0.51666780000000001</c:v>
                </c:pt>
                <c:pt idx="32">
                  <c:v>0.53333450000000004</c:v>
                </c:pt>
                <c:pt idx="33">
                  <c:v>0.55000119999999997</c:v>
                </c:pt>
                <c:pt idx="34">
                  <c:v>0.5666679</c:v>
                </c:pt>
                <c:pt idx="35">
                  <c:v>0.58333460000000004</c:v>
                </c:pt>
                <c:pt idx="36">
                  <c:v>0.60000129999999996</c:v>
                </c:pt>
                <c:pt idx="37">
                  <c:v>0.61666799999999999</c:v>
                </c:pt>
                <c:pt idx="38">
                  <c:v>0.63333479999999998</c:v>
                </c:pt>
                <c:pt idx="39">
                  <c:v>0.65000150000000001</c:v>
                </c:pt>
                <c:pt idx="40">
                  <c:v>0.66666820000000004</c:v>
                </c:pt>
                <c:pt idx="41">
                  <c:v>0.68333489999999997</c:v>
                </c:pt>
                <c:pt idx="42">
                  <c:v>0.7000016</c:v>
                </c:pt>
                <c:pt idx="43">
                  <c:v>0.71666830000000004</c:v>
                </c:pt>
                <c:pt idx="44">
                  <c:v>0.73333499999999996</c:v>
                </c:pt>
                <c:pt idx="45">
                  <c:v>0.75000169999999999</c:v>
                </c:pt>
                <c:pt idx="46">
                  <c:v>0.76666840000000003</c:v>
                </c:pt>
                <c:pt idx="47">
                  <c:v>0.78333509999999995</c:v>
                </c:pt>
              </c:numCache>
            </c:numRef>
          </c:xVal>
          <c:yVal>
            <c:numRef>
              <c:f>Std3csv!$C$33:$C$80</c:f>
              <c:numCache>
                <c:formatCode>General</c:formatCode>
                <c:ptCount val="48"/>
                <c:pt idx="0">
                  <c:v>3.7332700000000003E-2</c:v>
                </c:pt>
                <c:pt idx="1">
                  <c:v>0.23244600000000001</c:v>
                </c:pt>
                <c:pt idx="2">
                  <c:v>0.25216</c:v>
                </c:pt>
                <c:pt idx="3">
                  <c:v>0.26393299999999997</c:v>
                </c:pt>
                <c:pt idx="4">
                  <c:v>0.27115600000000001</c:v>
                </c:pt>
                <c:pt idx="5">
                  <c:v>0.27340999999999999</c:v>
                </c:pt>
                <c:pt idx="6">
                  <c:v>0.27463700000000002</c:v>
                </c:pt>
                <c:pt idx="7">
                  <c:v>0.27270899999999998</c:v>
                </c:pt>
                <c:pt idx="8">
                  <c:v>0.26725500000000002</c:v>
                </c:pt>
                <c:pt idx="9">
                  <c:v>0.26667600000000002</c:v>
                </c:pt>
                <c:pt idx="10">
                  <c:v>0.27189000000000002</c:v>
                </c:pt>
                <c:pt idx="11">
                  <c:v>0.27954400000000001</c:v>
                </c:pt>
                <c:pt idx="12">
                  <c:v>0.28133200000000003</c:v>
                </c:pt>
                <c:pt idx="13">
                  <c:v>0.27696399999999999</c:v>
                </c:pt>
                <c:pt idx="14">
                  <c:v>0.27476800000000001</c:v>
                </c:pt>
                <c:pt idx="15">
                  <c:v>0.272206</c:v>
                </c:pt>
                <c:pt idx="16">
                  <c:v>0.27898000000000001</c:v>
                </c:pt>
                <c:pt idx="17">
                  <c:v>0.27863500000000002</c:v>
                </c:pt>
                <c:pt idx="18">
                  <c:v>0.28034399999999998</c:v>
                </c:pt>
                <c:pt idx="19">
                  <c:v>0.28037600000000001</c:v>
                </c:pt>
                <c:pt idx="20">
                  <c:v>0.28069899999999998</c:v>
                </c:pt>
                <c:pt idx="21">
                  <c:v>0.277169</c:v>
                </c:pt>
                <c:pt idx="22">
                  <c:v>0.27995799999999998</c:v>
                </c:pt>
                <c:pt idx="23">
                  <c:v>0.27976400000000001</c:v>
                </c:pt>
                <c:pt idx="24">
                  <c:v>0.27956900000000001</c:v>
                </c:pt>
                <c:pt idx="25">
                  <c:v>0.28060400000000002</c:v>
                </c:pt>
                <c:pt idx="26">
                  <c:v>0.280362</c:v>
                </c:pt>
                <c:pt idx="27">
                  <c:v>0.28229599999999999</c:v>
                </c:pt>
                <c:pt idx="28">
                  <c:v>0.28353200000000001</c:v>
                </c:pt>
                <c:pt idx="29">
                  <c:v>0.28029300000000001</c:v>
                </c:pt>
                <c:pt idx="30">
                  <c:v>0.28057700000000002</c:v>
                </c:pt>
                <c:pt idx="31">
                  <c:v>0.28172900000000001</c:v>
                </c:pt>
                <c:pt idx="32">
                  <c:v>0.286277</c:v>
                </c:pt>
                <c:pt idx="33">
                  <c:v>0.28257700000000002</c:v>
                </c:pt>
                <c:pt idx="34">
                  <c:v>0.28683399999999998</c:v>
                </c:pt>
                <c:pt idx="35">
                  <c:v>0.284553</c:v>
                </c:pt>
                <c:pt idx="36">
                  <c:v>0.28878100000000001</c:v>
                </c:pt>
                <c:pt idx="37">
                  <c:v>0.28358</c:v>
                </c:pt>
                <c:pt idx="38">
                  <c:v>0.28293400000000002</c:v>
                </c:pt>
                <c:pt idx="39">
                  <c:v>0.27853299999999998</c:v>
                </c:pt>
                <c:pt idx="40">
                  <c:v>0.28142499999999998</c:v>
                </c:pt>
                <c:pt idx="41">
                  <c:v>0.27889599999999998</c:v>
                </c:pt>
                <c:pt idx="42">
                  <c:v>0.27975100000000003</c:v>
                </c:pt>
                <c:pt idx="43">
                  <c:v>0.28208699999999998</c:v>
                </c:pt>
                <c:pt idx="44">
                  <c:v>0.27970600000000001</c:v>
                </c:pt>
                <c:pt idx="45">
                  <c:v>0.281667</c:v>
                </c:pt>
                <c:pt idx="46">
                  <c:v>0.28535199999999999</c:v>
                </c:pt>
                <c:pt idx="47">
                  <c:v>0.28020299999999998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13-274B-B429-47267B7D3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1007"/>
        <c:axId val="158608863"/>
      </c:scatterChart>
      <c:valAx>
        <c:axId val="1043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08863"/>
        <c:crosses val="autoZero"/>
        <c:crossBetween val="midCat"/>
      </c:valAx>
      <c:valAx>
        <c:axId val="15860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Std4csv!$C$2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Std4csv!$B$33:$B$80</c:f>
              <c:numCache>
                <c:formatCode>General</c:formatCode>
                <c:ptCount val="48"/>
                <c:pt idx="0">
                  <c:v>0</c:v>
                </c:pt>
                <c:pt idx="1">
                  <c:v>1.66667E-2</c:v>
                </c:pt>
                <c:pt idx="2">
                  <c:v>3.3333399999999999E-2</c:v>
                </c:pt>
                <c:pt idx="3">
                  <c:v>5.0000099999999999E-2</c:v>
                </c:pt>
                <c:pt idx="4">
                  <c:v>6.6666799999999998E-2</c:v>
                </c:pt>
                <c:pt idx="5">
                  <c:v>8.3333489999999996E-2</c:v>
                </c:pt>
                <c:pt idx="6">
                  <c:v>0.1000002</c:v>
                </c:pt>
                <c:pt idx="7">
                  <c:v>0.1166669</c:v>
                </c:pt>
                <c:pt idx="8">
                  <c:v>0.1333336</c:v>
                </c:pt>
                <c:pt idx="9">
                  <c:v>0.1500003</c:v>
                </c:pt>
                <c:pt idx="10">
                  <c:v>0.16666700000000001</c:v>
                </c:pt>
                <c:pt idx="11">
                  <c:v>0.18333369999999999</c:v>
                </c:pt>
                <c:pt idx="12">
                  <c:v>0.20000039999999999</c:v>
                </c:pt>
                <c:pt idx="13">
                  <c:v>0.2166671</c:v>
                </c:pt>
                <c:pt idx="14">
                  <c:v>0.23333380000000001</c:v>
                </c:pt>
                <c:pt idx="15">
                  <c:v>0.25000040000000001</c:v>
                </c:pt>
                <c:pt idx="16">
                  <c:v>0.26666719999999999</c:v>
                </c:pt>
                <c:pt idx="17">
                  <c:v>0.28333390000000003</c:v>
                </c:pt>
                <c:pt idx="18">
                  <c:v>0.30000060000000001</c:v>
                </c:pt>
                <c:pt idx="19">
                  <c:v>0.31666729999999998</c:v>
                </c:pt>
                <c:pt idx="20">
                  <c:v>0.33333400000000002</c:v>
                </c:pt>
                <c:pt idx="21">
                  <c:v>0.3500007</c:v>
                </c:pt>
                <c:pt idx="22">
                  <c:v>0.36666739999999998</c:v>
                </c:pt>
                <c:pt idx="23">
                  <c:v>0.38333410000000001</c:v>
                </c:pt>
                <c:pt idx="24">
                  <c:v>0.40000079999999999</c:v>
                </c:pt>
                <c:pt idx="25">
                  <c:v>0.41666760000000003</c:v>
                </c:pt>
                <c:pt idx="26">
                  <c:v>0.43333430000000001</c:v>
                </c:pt>
                <c:pt idx="27">
                  <c:v>0.45000099999999998</c:v>
                </c:pt>
                <c:pt idx="28">
                  <c:v>0.46666770000000002</c:v>
                </c:pt>
                <c:pt idx="29">
                  <c:v>0.4833344</c:v>
                </c:pt>
                <c:pt idx="30">
                  <c:v>0.50000109999999998</c:v>
                </c:pt>
                <c:pt idx="31">
                  <c:v>0.51666780000000001</c:v>
                </c:pt>
                <c:pt idx="32">
                  <c:v>0.53333450000000004</c:v>
                </c:pt>
                <c:pt idx="33">
                  <c:v>0.55000119999999997</c:v>
                </c:pt>
                <c:pt idx="34">
                  <c:v>0.5666679</c:v>
                </c:pt>
                <c:pt idx="35">
                  <c:v>0.58333460000000004</c:v>
                </c:pt>
                <c:pt idx="36">
                  <c:v>0.60000129999999996</c:v>
                </c:pt>
                <c:pt idx="37">
                  <c:v>0.61666799999999999</c:v>
                </c:pt>
                <c:pt idx="38">
                  <c:v>0.63333479999999998</c:v>
                </c:pt>
                <c:pt idx="39">
                  <c:v>0.65000150000000001</c:v>
                </c:pt>
                <c:pt idx="40">
                  <c:v>0.66666820000000004</c:v>
                </c:pt>
                <c:pt idx="41">
                  <c:v>0.68333489999999997</c:v>
                </c:pt>
                <c:pt idx="42">
                  <c:v>0.7000016</c:v>
                </c:pt>
                <c:pt idx="43">
                  <c:v>0.71666830000000004</c:v>
                </c:pt>
                <c:pt idx="44">
                  <c:v>0.73333499999999996</c:v>
                </c:pt>
                <c:pt idx="45">
                  <c:v>0.75000169999999999</c:v>
                </c:pt>
                <c:pt idx="46">
                  <c:v>0.76666840000000003</c:v>
                </c:pt>
                <c:pt idx="47">
                  <c:v>0.78333509999999995</c:v>
                </c:pt>
              </c:numCache>
            </c:numRef>
          </c:xVal>
          <c:yVal>
            <c:numRef>
              <c:f>Std4csv!$C$33:$C$80</c:f>
              <c:numCache>
                <c:formatCode>General</c:formatCode>
                <c:ptCount val="48"/>
                <c:pt idx="0">
                  <c:v>2.10317E-2</c:v>
                </c:pt>
                <c:pt idx="1">
                  <c:v>0.31109900000000001</c:v>
                </c:pt>
                <c:pt idx="2">
                  <c:v>0.34043400000000001</c:v>
                </c:pt>
                <c:pt idx="3">
                  <c:v>0.35397000000000001</c:v>
                </c:pt>
                <c:pt idx="4">
                  <c:v>0.35188000000000003</c:v>
                </c:pt>
                <c:pt idx="5">
                  <c:v>0.35521000000000003</c:v>
                </c:pt>
                <c:pt idx="6">
                  <c:v>0.35655500000000001</c:v>
                </c:pt>
                <c:pt idx="7">
                  <c:v>0.35496699999999998</c:v>
                </c:pt>
                <c:pt idx="8">
                  <c:v>0.35831499999999999</c:v>
                </c:pt>
                <c:pt idx="9">
                  <c:v>0.363207</c:v>
                </c:pt>
                <c:pt idx="10">
                  <c:v>0.36382799999999998</c:v>
                </c:pt>
                <c:pt idx="11">
                  <c:v>0.36144300000000001</c:v>
                </c:pt>
                <c:pt idx="12">
                  <c:v>0.367232</c:v>
                </c:pt>
                <c:pt idx="13">
                  <c:v>0.36742999999999998</c:v>
                </c:pt>
                <c:pt idx="14">
                  <c:v>0.36762299999999998</c:v>
                </c:pt>
                <c:pt idx="15">
                  <c:v>0.36403400000000002</c:v>
                </c:pt>
                <c:pt idx="16">
                  <c:v>0.365954</c:v>
                </c:pt>
                <c:pt idx="17">
                  <c:v>0.36454599999999998</c:v>
                </c:pt>
                <c:pt idx="18">
                  <c:v>0.36734899999999998</c:v>
                </c:pt>
                <c:pt idx="19">
                  <c:v>0.37205199999999999</c:v>
                </c:pt>
                <c:pt idx="20">
                  <c:v>0.371174</c:v>
                </c:pt>
                <c:pt idx="21">
                  <c:v>0.366562</c:v>
                </c:pt>
                <c:pt idx="22">
                  <c:v>0.36922700000000003</c:v>
                </c:pt>
                <c:pt idx="23">
                  <c:v>0.36580699999999999</c:v>
                </c:pt>
                <c:pt idx="24">
                  <c:v>0.366817</c:v>
                </c:pt>
                <c:pt idx="25">
                  <c:v>0.36790899999999999</c:v>
                </c:pt>
                <c:pt idx="26">
                  <c:v>0.37040899999999999</c:v>
                </c:pt>
                <c:pt idx="27">
                  <c:v>0.37231700000000001</c:v>
                </c:pt>
                <c:pt idx="28">
                  <c:v>0.36776399999999998</c:v>
                </c:pt>
                <c:pt idx="29">
                  <c:v>0.365763</c:v>
                </c:pt>
                <c:pt idx="30">
                  <c:v>0.35810900000000001</c:v>
                </c:pt>
                <c:pt idx="31">
                  <c:v>0.36518200000000001</c:v>
                </c:pt>
                <c:pt idx="32">
                  <c:v>0.36435499999999998</c:v>
                </c:pt>
                <c:pt idx="33">
                  <c:v>0.365591</c:v>
                </c:pt>
                <c:pt idx="34">
                  <c:v>0.361458</c:v>
                </c:pt>
                <c:pt idx="35">
                  <c:v>0.36651299999999998</c:v>
                </c:pt>
                <c:pt idx="36">
                  <c:v>0.36256100000000002</c:v>
                </c:pt>
                <c:pt idx="37">
                  <c:v>0.36754799999999999</c:v>
                </c:pt>
                <c:pt idx="38">
                  <c:v>0.36543799999999999</c:v>
                </c:pt>
                <c:pt idx="39">
                  <c:v>0.366342</c:v>
                </c:pt>
                <c:pt idx="40">
                  <c:v>0.36523499999999998</c:v>
                </c:pt>
                <c:pt idx="41">
                  <c:v>0.36169800000000002</c:v>
                </c:pt>
                <c:pt idx="42">
                  <c:v>0.36931700000000001</c:v>
                </c:pt>
                <c:pt idx="43">
                  <c:v>0.36439300000000002</c:v>
                </c:pt>
                <c:pt idx="44">
                  <c:v>0.36507899999999999</c:v>
                </c:pt>
                <c:pt idx="45">
                  <c:v>0.36109599999999997</c:v>
                </c:pt>
                <c:pt idx="46">
                  <c:v>0.36128300000000002</c:v>
                </c:pt>
                <c:pt idx="47">
                  <c:v>0.36530400000000002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0-A94B-AB03-D376C49E4CC8}"/>
            </c:ext>
          </c:extLst>
        </c:ser>
        <c:ser>
          <c:idx val="1"/>
          <c:order val="1"/>
          <c:tx>
            <c:strRef>
              <c:f>Std4csv!$D$2</c:f>
              <c:strCache>
                <c:ptCount val="1"/>
                <c:pt idx="0">
                  <c:v>04/11/2025 18:16:14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Std4csv!$B$3:$B$19</c:f>
              <c:strCache>
                <c:ptCount val="17"/>
                <c:pt idx="0">
                  <c:v>Lambda XLS+</c:v>
                </c:pt>
                <c:pt idx="1">
                  <c:v>04/11/2025</c:v>
                </c:pt>
                <c:pt idx="2">
                  <c:v>Product</c:v>
                </c:pt>
                <c:pt idx="3">
                  <c:v>Version</c:v>
                </c:pt>
                <c:pt idx="4">
                  <c:v>Serial Number</c:v>
                </c:pt>
                <c:pt idx="5">
                  <c:v>Date</c:v>
                </c:pt>
                <c:pt idx="6">
                  <c:v>Time</c:v>
                </c:pt>
                <c:pt idx="7">
                  <c:v>Instrument Calibration Pass</c:v>
                </c:pt>
                <c:pt idx="8">
                  <c:v>2025-11-04 16:48</c:v>
                </c:pt>
                <c:pt idx="9">
                  <c:v>Wavelength</c:v>
                </c:pt>
                <c:pt idx="10">
                  <c:v>Factor</c:v>
                </c:pt>
                <c:pt idx="11">
                  <c:v>Units</c:v>
                </c:pt>
                <c:pt idx="12">
                  <c:v>Mode</c:v>
                </c:pt>
                <c:pt idx="13">
                  <c:v>Delay Time</c:v>
                </c:pt>
                <c:pt idx="14">
                  <c:v>Duration</c:v>
                </c:pt>
                <c:pt idx="15">
                  <c:v>Interval</c:v>
                </c:pt>
                <c:pt idx="16">
                  <c:v>Data Points</c:v>
                </c:pt>
              </c:strCache>
            </c:strRef>
          </c:xVal>
          <c:yVal>
            <c:numRef>
              <c:f>Std4csv!$D$3:$D$19</c:f>
              <c:numCache>
                <c:formatCode>General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50-A94B-AB03-D376C49E4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458927"/>
        <c:axId val="240497999"/>
      </c:scatterChart>
      <c:valAx>
        <c:axId val="240458927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97999"/>
        <c:crosses val="autoZero"/>
        <c:crossBetween val="midCat"/>
      </c:valAx>
      <c:valAx>
        <c:axId val="24049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5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375576</xdr:colOff>
      <xdr:row>17</xdr:row>
      <xdr:rowOff>71861</xdr:rowOff>
    </xdr:from>
    <xdr:to>
      <xdr:col>11</xdr:col>
      <xdr:colOff>402682</xdr:colOff>
      <xdr:row>30</xdr:row>
      <xdr:rowOff>142486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5DF54-357D-E08B-A29D-54641CA4B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142921</xdr:colOff>
      <xdr:row>8</xdr:row>
      <xdr:rowOff>198966</xdr:rowOff>
    </xdr:from>
    <xdr:to>
      <xdr:col>12</xdr:col>
      <xdr:colOff>529963</xdr:colOff>
      <xdr:row>22</xdr:row>
      <xdr:rowOff>141110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7272A-1505-94D6-0769-6CC3D8939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730250</xdr:colOff>
      <xdr:row>56</xdr:row>
      <xdr:rowOff>152400</xdr:rowOff>
    </xdr:from>
    <xdr:to>
      <xdr:col>10</xdr:col>
      <xdr:colOff>158750</xdr:colOff>
      <xdr:row>70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BF04A-3742-D618-AD32-444F3DF9C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806450</xdr:colOff>
      <xdr:row>49</xdr:row>
      <xdr:rowOff>50800</xdr:rowOff>
    </xdr:from>
    <xdr:to>
      <xdr:col>10</xdr:col>
      <xdr:colOff>234950</xdr:colOff>
      <xdr:row>62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7994C9-0948-BD3C-D107-E424EF7AB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730250</xdr:colOff>
      <xdr:row>57</xdr:row>
      <xdr:rowOff>152400</xdr:rowOff>
    </xdr:from>
    <xdr:to>
      <xdr:col>10</xdr:col>
      <xdr:colOff>158750</xdr:colOff>
      <xdr:row>71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6B7FDE-2121-A0B0-EB48-85E7B79D9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806450</xdr:colOff>
      <xdr:row>26</xdr:row>
      <xdr:rowOff>114300</xdr:rowOff>
    </xdr:from>
    <xdr:to>
      <xdr:col>15</xdr:col>
      <xdr:colOff>425450</xdr:colOff>
      <xdr:row>40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7DCFFE-1261-8C18-6ED3-4BB92D87F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ndard1" connectionId="1" xr16:uid="{B8E4D42E-07E7-3D4F-AED5-6F678A96778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d2" connectionId="2" xr16:uid="{CF86844D-8CA5-F34A-8CAE-3524D79C497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d3" connectionId="3" xr16:uid="{F1967D54-9525-D24E-B773-C5C0D3305B67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d4" connectionId="4" xr16:uid="{5D4AA26E-954E-6847-85EB-F9EF555C16F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B82B-6FC4-924F-96E4-3A4FEDA4DA40}">
  <sheetPr>
    <pageSetUpPr fitToPage="1"/>
  </sheetPr>
  <dimension ref="B2:L37"/>
  <sheetViews>
    <sheetView zoomScale="92" workbookViewId="0">
      <selection activeCell="E16" sqref="E16"/>
    </sheetView>
  </sheetViews>
  <sheetFormatPr baseColWidth="10" defaultRowHeight="16" x14ac:dyDescent="0.2"/>
  <cols>
    <col min="2" max="2" width="16.1640625" customWidth="1"/>
    <col min="3" max="3" width="22.1640625" customWidth="1"/>
    <col min="4" max="4" width="16.5" customWidth="1"/>
    <col min="5" max="5" width="25.5" customWidth="1"/>
    <col min="6" max="6" width="14" customWidth="1"/>
    <col min="7" max="7" width="20.83203125" customWidth="1"/>
    <col min="8" max="8" width="14" customWidth="1"/>
    <col min="10" max="10" width="41.33203125" customWidth="1"/>
    <col min="11" max="11" width="14.1640625" customWidth="1"/>
  </cols>
  <sheetData>
    <row r="2" spans="2:12" x14ac:dyDescent="0.2">
      <c r="B2" s="5" t="s">
        <v>70</v>
      </c>
      <c r="J2" s="5" t="s">
        <v>72</v>
      </c>
      <c r="K2" s="5"/>
    </row>
    <row r="3" spans="2:12" x14ac:dyDescent="0.2">
      <c r="J3" s="5" t="s">
        <v>73</v>
      </c>
      <c r="K3" s="5" t="s">
        <v>74</v>
      </c>
    </row>
    <row r="4" spans="2:12" x14ac:dyDescent="0.2">
      <c r="J4">
        <v>3.5200000000000002E-2</v>
      </c>
      <c r="K4">
        <v>2.5300000000000001E-3</v>
      </c>
    </row>
    <row r="5" spans="2:12" x14ac:dyDescent="0.2">
      <c r="B5" s="5" t="s">
        <v>42</v>
      </c>
      <c r="C5" s="5" t="s">
        <v>86</v>
      </c>
      <c r="D5" s="5" t="s">
        <v>75</v>
      </c>
      <c r="E5" s="5" t="s">
        <v>76</v>
      </c>
      <c r="F5" s="6"/>
      <c r="G5" s="5" t="s">
        <v>88</v>
      </c>
      <c r="H5" s="6"/>
    </row>
    <row r="6" spans="2:12" x14ac:dyDescent="0.2">
      <c r="B6" t="s">
        <v>71</v>
      </c>
      <c r="C6">
        <v>0</v>
      </c>
      <c r="D6">
        <v>0</v>
      </c>
      <c r="E6">
        <v>0</v>
      </c>
      <c r="G6">
        <v>0.16700000000000001</v>
      </c>
    </row>
    <row r="7" spans="2:12" x14ac:dyDescent="0.2">
      <c r="B7">
        <v>1</v>
      </c>
      <c r="C7">
        <f>($K$4*E7)/(50*10^(3))</f>
        <v>6.0720000000000005E-6</v>
      </c>
      <c r="D7">
        <v>0.129</v>
      </c>
      <c r="E7">
        <v>120</v>
      </c>
    </row>
    <row r="8" spans="2:12" x14ac:dyDescent="0.2">
      <c r="B8">
        <v>2</v>
      </c>
      <c r="C8">
        <f>($K$4*E8)/(50*10^(3))</f>
        <v>1.2144000000000001E-5</v>
      </c>
      <c r="D8">
        <v>0.26100000000000001</v>
      </c>
      <c r="E8">
        <v>240</v>
      </c>
    </row>
    <row r="9" spans="2:12" x14ac:dyDescent="0.2">
      <c r="B9">
        <v>3</v>
      </c>
      <c r="C9">
        <f>($K$4*E9)/(50*10^(3))</f>
        <v>1.8216E-5</v>
      </c>
      <c r="D9">
        <v>0.4</v>
      </c>
      <c r="E9">
        <v>360</v>
      </c>
    </row>
    <row r="10" spans="2:12" x14ac:dyDescent="0.2">
      <c r="B10">
        <v>4</v>
      </c>
      <c r="C10">
        <f>($K$4*E10)/(50*10^(3))</f>
        <v>2.4288000000000002E-5</v>
      </c>
      <c r="D10">
        <v>0.53100000000000003</v>
      </c>
      <c r="E10">
        <v>480</v>
      </c>
    </row>
    <row r="11" spans="2:12" x14ac:dyDescent="0.2">
      <c r="B11">
        <v>5</v>
      </c>
      <c r="C11">
        <f>($K$4*E11)/(50*10^(3))</f>
        <v>3.0360000000000001E-5</v>
      </c>
      <c r="D11">
        <v>0.65700000000000003</v>
      </c>
      <c r="E11">
        <v>600</v>
      </c>
    </row>
    <row r="14" spans="2:12" x14ac:dyDescent="0.2">
      <c r="B14" s="5" t="s">
        <v>77</v>
      </c>
      <c r="C14" s="5" t="s">
        <v>75</v>
      </c>
      <c r="D14" s="5" t="s">
        <v>85</v>
      </c>
      <c r="E14" s="5" t="s">
        <v>95</v>
      </c>
      <c r="F14" s="5" t="s">
        <v>81</v>
      </c>
      <c r="G14" s="5" t="s">
        <v>84</v>
      </c>
      <c r="H14" s="6"/>
      <c r="J14" s="5" t="s">
        <v>82</v>
      </c>
      <c r="K14" s="5" t="s">
        <v>83</v>
      </c>
      <c r="L14" s="5" t="s">
        <v>94</v>
      </c>
    </row>
    <row r="15" spans="2:12" x14ac:dyDescent="0.2">
      <c r="B15" t="s">
        <v>78</v>
      </c>
      <c r="C15">
        <v>0.128</v>
      </c>
      <c r="D15">
        <f>((C15-$C$36)/$C$37)*10^6</f>
        <v>5.9233693304535597</v>
      </c>
      <c r="E15">
        <f>(3.18*($C$26/ABS($C$37)) * SQRT(1/COUNT(C15)+1/COUNT($B$6:$B$11)+($D$37^2 * (C15-AVERAGE($D$6:$D$11)^2))/($C$37^2 * $C$26^2)))*10^6</f>
        <v>0.57943348255175764</v>
      </c>
      <c r="F15" s="7">
        <f>D15/($G$6*10^3) *100</f>
        <v>3.5469277427865626</v>
      </c>
      <c r="G15" s="7">
        <f>E15/($G$6*10^3)*100</f>
        <v>0.34696615721662133</v>
      </c>
      <c r="J15" s="7">
        <f>$C$37</f>
        <v>21786.184829663089</v>
      </c>
      <c r="K15" s="7">
        <f>$D$37</f>
        <v>139.05615320472751</v>
      </c>
      <c r="L15" s="7">
        <f>K15*4</f>
        <v>556.22461281891003</v>
      </c>
    </row>
    <row r="16" spans="2:12" x14ac:dyDescent="0.2">
      <c r="B16" t="s">
        <v>79</v>
      </c>
      <c r="C16">
        <v>0.375</v>
      </c>
      <c r="D16">
        <f>((C16-$C$36)/$C$37)*10^6</f>
        <v>17.260829373650104</v>
      </c>
      <c r="E16">
        <f>(3.18*($C$26/ABS($C$37)) * SQRT(1/COUNT(C16)+1/COUNT($B$6:$B$11)+($D$37^2 * (C16-AVERAGE($D$6:$D$11)^2))/($C$37^2 * $C$26^2)))*10^6</f>
        <v>0.74171040421847734</v>
      </c>
      <c r="F16" s="7">
        <f t="shared" ref="F16:F17" si="0">D16/($G$6*10^3) *100</f>
        <v>10.335825972245571</v>
      </c>
      <c r="G16" s="7">
        <f t="shared" ref="G16:G17" si="1">E16/($G$6*10^3)*100</f>
        <v>0.44413796659789062</v>
      </c>
    </row>
    <row r="17" spans="2:7" x14ac:dyDescent="0.2">
      <c r="B17" t="s">
        <v>80</v>
      </c>
      <c r="C17">
        <v>0.11700000000000001</v>
      </c>
      <c r="D17">
        <f t="shared" ref="D16:D17" si="2">((C17-$C$36)/$C$37)*10^6</f>
        <v>5.418462203023755</v>
      </c>
      <c r="E17">
        <f>(3.18*($C$26/ABS($C$37)) * SQRT(1/COUNT(C17)+1/COUNT($B$6:$B$11)+($D$37^2 * (C17-AVERAGE($D$6:$D$11)^2))/($C$37^2 * $C$26^2)))*10^6</f>
        <v>0.57113516448731283</v>
      </c>
      <c r="F17" s="7">
        <f t="shared" si="0"/>
        <v>3.2445881455232062</v>
      </c>
      <c r="G17" s="7">
        <f t="shared" si="1"/>
        <v>0.34199710448342086</v>
      </c>
    </row>
    <row r="20" spans="2:7" x14ac:dyDescent="0.2">
      <c r="B20" t="s">
        <v>45</v>
      </c>
    </row>
    <row r="21" spans="2:7" ht="17" thickBot="1" x14ac:dyDescent="0.25"/>
    <row r="22" spans="2:7" x14ac:dyDescent="0.2">
      <c r="B22" s="11" t="s">
        <v>46</v>
      </c>
      <c r="C22" s="11"/>
    </row>
    <row r="23" spans="2:7" x14ac:dyDescent="0.2">
      <c r="B23" s="8" t="s">
        <v>47</v>
      </c>
      <c r="C23" s="8">
        <v>0.99991853051422952</v>
      </c>
    </row>
    <row r="24" spans="2:7" x14ac:dyDescent="0.2">
      <c r="B24" s="8" t="s">
        <v>48</v>
      </c>
      <c r="C24" s="8">
        <v>0.99983706766573621</v>
      </c>
    </row>
    <row r="25" spans="2:7" x14ac:dyDescent="0.2">
      <c r="B25" s="8" t="s">
        <v>49</v>
      </c>
      <c r="C25" s="8">
        <v>0.99979633458217032</v>
      </c>
    </row>
    <row r="26" spans="2:7" x14ac:dyDescent="0.2">
      <c r="B26" s="8" t="s">
        <v>50</v>
      </c>
      <c r="C26" s="8">
        <v>3.5321651258386115E-3</v>
      </c>
    </row>
    <row r="27" spans="2:7" ht="17" thickBot="1" x14ac:dyDescent="0.25">
      <c r="B27" s="9" t="s">
        <v>51</v>
      </c>
      <c r="C27" s="9">
        <v>6</v>
      </c>
    </row>
    <row r="29" spans="2:7" ht="17" thickBot="1" x14ac:dyDescent="0.25">
      <c r="B29" t="s">
        <v>52</v>
      </c>
    </row>
    <row r="30" spans="2:7" x14ac:dyDescent="0.2">
      <c r="B30" s="10"/>
      <c r="C30" s="10" t="s">
        <v>57</v>
      </c>
      <c r="D30" s="10" t="s">
        <v>58</v>
      </c>
      <c r="E30" s="10" t="s">
        <v>59</v>
      </c>
      <c r="F30" s="10" t="s">
        <v>60</v>
      </c>
      <c r="G30" s="10" t="s">
        <v>61</v>
      </c>
    </row>
    <row r="31" spans="2:7" x14ac:dyDescent="0.2">
      <c r="B31" s="8" t="s">
        <v>53</v>
      </c>
      <c r="C31" s="8">
        <v>1</v>
      </c>
      <c r="D31" s="8">
        <v>0.30624142857142861</v>
      </c>
      <c r="E31" s="8">
        <v>0.30624142857142861</v>
      </c>
      <c r="F31" s="8">
        <v>24546.068702290046</v>
      </c>
      <c r="G31" s="8">
        <v>9.9556452997733006E-9</v>
      </c>
    </row>
    <row r="32" spans="2:7" x14ac:dyDescent="0.2">
      <c r="B32" s="8" t="s">
        <v>54</v>
      </c>
      <c r="C32" s="8">
        <v>4</v>
      </c>
      <c r="D32" s="8">
        <v>4.9904761904761973E-5</v>
      </c>
      <c r="E32" s="8">
        <v>1.2476190476190493E-5</v>
      </c>
      <c r="F32" s="8"/>
      <c r="G32" s="8"/>
    </row>
    <row r="33" spans="2:10" ht="17" thickBot="1" x14ac:dyDescent="0.25">
      <c r="B33" s="9" t="s">
        <v>55</v>
      </c>
      <c r="C33" s="9">
        <v>5</v>
      </c>
      <c r="D33" s="9">
        <v>0.30629133333333336</v>
      </c>
      <c r="E33" s="9"/>
      <c r="F33" s="9"/>
      <c r="G33" s="9"/>
    </row>
    <row r="34" spans="2:10" ht="17" thickBot="1" x14ac:dyDescent="0.25"/>
    <row r="35" spans="2:10" x14ac:dyDescent="0.2">
      <c r="B35" s="10"/>
      <c r="C35" s="10" t="s">
        <v>62</v>
      </c>
      <c r="D35" s="10" t="s">
        <v>50</v>
      </c>
      <c r="E35" s="10" t="s">
        <v>63</v>
      </c>
      <c r="F35" s="10" t="s">
        <v>64</v>
      </c>
      <c r="G35" s="10" t="s">
        <v>65</v>
      </c>
      <c r="H35" s="10" t="s">
        <v>66</v>
      </c>
      <c r="I35" s="10" t="s">
        <v>67</v>
      </c>
      <c r="J35" s="10" t="s">
        <v>68</v>
      </c>
    </row>
    <row r="36" spans="2:10" x14ac:dyDescent="0.2">
      <c r="B36" s="8" t="s">
        <v>56</v>
      </c>
      <c r="C36" s="8">
        <v>-1.047619047618964E-3</v>
      </c>
      <c r="D36" s="8">
        <v>2.5563934345656301E-3</v>
      </c>
      <c r="E36" s="8">
        <v>-0.40980352767842648</v>
      </c>
      <c r="F36" s="8">
        <v>0.70294714065327768</v>
      </c>
      <c r="G36" s="8">
        <v>-8.1453050859784833E-3</v>
      </c>
      <c r="H36" s="8">
        <v>6.0500669907405553E-3</v>
      </c>
      <c r="I36" s="8">
        <v>-8.1453050859784833E-3</v>
      </c>
      <c r="J36" s="8">
        <v>6.0500669907405553E-3</v>
      </c>
    </row>
    <row r="37" spans="2:10" ht="17" thickBot="1" x14ac:dyDescent="0.25">
      <c r="B37" s="9" t="s">
        <v>69</v>
      </c>
      <c r="C37" s="9">
        <v>21786.184829663089</v>
      </c>
      <c r="D37" s="9">
        <v>139.05615320472751</v>
      </c>
      <c r="E37" s="9">
        <v>156.67185038254331</v>
      </c>
      <c r="F37" s="9">
        <v>9.9556452997733006E-9</v>
      </c>
      <c r="G37" s="9">
        <v>21400.10305375019</v>
      </c>
      <c r="H37" s="9">
        <v>22172.266605575987</v>
      </c>
      <c r="I37" s="9">
        <v>21400.10305375019</v>
      </c>
      <c r="J37" s="9">
        <v>22172.266605575987</v>
      </c>
    </row>
  </sheetData>
  <pageMargins left="0.7" right="0.7" top="0.75" bottom="0.75" header="0.3" footer="0.3"/>
  <pageSetup scale="2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EA85-1743-9D48-B44F-0132528D018F}">
  <sheetPr>
    <pageSetUpPr fitToPage="1"/>
  </sheetPr>
  <dimension ref="B2:T30"/>
  <sheetViews>
    <sheetView tabSelected="1" zoomScale="75" workbookViewId="0">
      <selection activeCell="K6" sqref="K6"/>
    </sheetView>
  </sheetViews>
  <sheetFormatPr baseColWidth="10" defaultRowHeight="16" x14ac:dyDescent="0.2"/>
  <cols>
    <col min="2" max="2" width="20.83203125" customWidth="1"/>
    <col min="3" max="3" width="12.1640625" bestFit="1" customWidth="1"/>
    <col min="4" max="4" width="16.1640625" customWidth="1"/>
    <col min="7" max="7" width="26.5" customWidth="1"/>
    <col min="9" max="9" width="10.1640625" customWidth="1"/>
    <col min="10" max="10" width="39.6640625" customWidth="1"/>
    <col min="11" max="11" width="12" customWidth="1"/>
  </cols>
  <sheetData>
    <row r="2" spans="2:20" x14ac:dyDescent="0.2">
      <c r="B2" s="5" t="s">
        <v>93</v>
      </c>
    </row>
    <row r="3" spans="2:20" x14ac:dyDescent="0.2">
      <c r="B3">
        <v>1.2540000000000001E-2</v>
      </c>
    </row>
    <row r="5" spans="2:20" x14ac:dyDescent="0.2">
      <c r="B5" s="5" t="s">
        <v>42</v>
      </c>
      <c r="C5" s="5" t="s">
        <v>97</v>
      </c>
      <c r="D5" s="5" t="s">
        <v>96</v>
      </c>
      <c r="E5" s="5" t="s">
        <v>43</v>
      </c>
      <c r="F5" s="5" t="s">
        <v>44</v>
      </c>
      <c r="G5" s="5" t="s">
        <v>91</v>
      </c>
      <c r="I5" s="5" t="s">
        <v>89</v>
      </c>
      <c r="J5" s="5" t="s">
        <v>90</v>
      </c>
      <c r="K5" s="6" t="s">
        <v>98</v>
      </c>
    </row>
    <row r="6" spans="2:20" x14ac:dyDescent="0.2">
      <c r="B6">
        <v>1</v>
      </c>
      <c r="C6">
        <f>($B$3*(1/25)*(10/(300+1500+10+800)))*1000</f>
        <v>1.9218390804597702E-3</v>
      </c>
      <c r="D6">
        <f>Std1csv!$F$37</f>
        <v>0.13317100814610469</v>
      </c>
      <c r="E6">
        <f>LOG10(C6)</f>
        <v>-2.7162829795156207</v>
      </c>
      <c r="F6">
        <f>LOG10(D6)</f>
        <v>-0.87559031249772112</v>
      </c>
      <c r="G6">
        <f>10^(F6-E6)</f>
        <v>69.293526965975502</v>
      </c>
      <c r="I6" s="7">
        <f>C30</f>
        <v>1.1694708740577602</v>
      </c>
      <c r="J6" s="7">
        <f>10^C29</f>
        <v>192.10903165031291</v>
      </c>
      <c r="K6">
        <f>J6*LN(10)*D29</f>
        <v>87.318394942066206</v>
      </c>
    </row>
    <row r="7" spans="2:20" x14ac:dyDescent="0.2">
      <c r="B7">
        <v>2</v>
      </c>
      <c r="C7">
        <f>($B$3*(2.265/25)*(10/(300+1500+10+800)))*1000</f>
        <v>4.3529655172413794E-3</v>
      </c>
      <c r="D7">
        <f>Std2csv!$F$37</f>
        <v>0.31021872511762538</v>
      </c>
      <c r="E7">
        <f t="shared" ref="E7:E9" si="0">LOG10(C7)</f>
        <v>-2.3612147731667701</v>
      </c>
      <c r="F7">
        <f t="shared" ref="F7:F9" si="1">LOG10(D7)</f>
        <v>-0.50833199127477247</v>
      </c>
      <c r="G7">
        <f t="shared" ref="G7:G9" si="2">10^(F7-E7)</f>
        <v>71.266065372881997</v>
      </c>
    </row>
    <row r="8" spans="2:20" x14ac:dyDescent="0.2">
      <c r="B8">
        <v>3</v>
      </c>
      <c r="C8">
        <f>($B$3*(3.595/25)*(10/(300+1500+10+800)))*1000</f>
        <v>6.9090114942528735E-3</v>
      </c>
      <c r="D8">
        <f>Std3csv!$F$37</f>
        <v>0.53734853890119438</v>
      </c>
      <c r="E8">
        <f t="shared" si="0"/>
        <v>-2.1605840847967195</v>
      </c>
      <c r="F8">
        <f t="shared" si="1"/>
        <v>-0.26974392767097211</v>
      </c>
      <c r="G8">
        <f t="shared" si="2"/>
        <v>77.77502459623598</v>
      </c>
    </row>
    <row r="9" spans="2:20" x14ac:dyDescent="0.2">
      <c r="B9">
        <v>4</v>
      </c>
      <c r="C9">
        <f>($B$3*(4.43/25)*(10/(300+1500+10+800)))*1000</f>
        <v>8.5137471264367815E-3</v>
      </c>
      <c r="D9">
        <f>Std4csv!$F$37</f>
        <v>0.79885502340442416</v>
      </c>
      <c r="E9">
        <f t="shared" si="0"/>
        <v>-2.0698792532925512</v>
      </c>
      <c r="F9">
        <f t="shared" si="1"/>
        <v>-9.7532029507477691E-2</v>
      </c>
      <c r="G9">
        <f t="shared" si="2"/>
        <v>93.8311899027197</v>
      </c>
      <c r="L9" s="12"/>
      <c r="M9" s="12"/>
      <c r="N9" s="12"/>
      <c r="O9" s="12"/>
      <c r="P9" s="12"/>
      <c r="Q9" s="12"/>
      <c r="R9" s="12"/>
      <c r="S9" s="12"/>
      <c r="T9" s="12"/>
    </row>
    <row r="10" spans="2:20" x14ac:dyDescent="0.2">
      <c r="G10" s="5" t="s">
        <v>92</v>
      </c>
      <c r="H10" s="5" t="s">
        <v>87</v>
      </c>
      <c r="L10" s="12"/>
      <c r="M10" s="12"/>
      <c r="N10" s="12"/>
      <c r="O10" s="12"/>
      <c r="P10" s="12"/>
      <c r="Q10" s="12"/>
      <c r="R10" s="12"/>
      <c r="S10" s="12"/>
      <c r="T10" s="12"/>
    </row>
    <row r="11" spans="2:20" x14ac:dyDescent="0.2">
      <c r="G11" s="7">
        <f>AVERAGE(G6:G9)</f>
        <v>78.041451709453298</v>
      </c>
      <c r="H11">
        <f>(3.18*STDEV(G6:G9))/SQRT(COUNT($B$6:$B$9))</f>
        <v>17.701179503200063</v>
      </c>
      <c r="L11" s="13"/>
      <c r="M11" s="13"/>
      <c r="N11" s="12"/>
      <c r="O11" s="12"/>
      <c r="P11" s="12"/>
      <c r="Q11" s="12"/>
      <c r="R11" s="12"/>
      <c r="S11" s="12"/>
      <c r="T11" s="12"/>
    </row>
    <row r="12" spans="2:20" x14ac:dyDescent="0.2">
      <c r="L12" s="8"/>
      <c r="M12" s="8"/>
      <c r="N12" s="12"/>
      <c r="O12" s="12"/>
      <c r="P12" s="12"/>
      <c r="Q12" s="12"/>
      <c r="R12" s="12"/>
      <c r="S12" s="12"/>
      <c r="T12" s="12"/>
    </row>
    <row r="13" spans="2:20" x14ac:dyDescent="0.2">
      <c r="B13" t="s">
        <v>45</v>
      </c>
      <c r="L13" s="8"/>
      <c r="M13" s="8"/>
      <c r="N13" s="12"/>
      <c r="O13" s="12"/>
      <c r="P13" s="12"/>
      <c r="Q13" s="12"/>
      <c r="R13" s="12"/>
      <c r="S13" s="12"/>
      <c r="T13" s="12"/>
    </row>
    <row r="14" spans="2:20" ht="17" thickBot="1" x14ac:dyDescent="0.25">
      <c r="L14" s="8"/>
      <c r="M14" s="8"/>
      <c r="N14" s="12"/>
      <c r="O14" s="12"/>
      <c r="P14" s="12"/>
      <c r="Q14" s="12"/>
      <c r="R14" s="12"/>
      <c r="S14" s="12"/>
      <c r="T14" s="12"/>
    </row>
    <row r="15" spans="2:20" x14ac:dyDescent="0.2">
      <c r="B15" s="11" t="s">
        <v>46</v>
      </c>
      <c r="C15" s="11"/>
      <c r="L15" s="8"/>
      <c r="M15" s="8"/>
      <c r="N15" s="12"/>
      <c r="O15" s="12"/>
      <c r="P15" s="12"/>
      <c r="Q15" s="12"/>
      <c r="R15" s="12"/>
      <c r="S15" s="12"/>
      <c r="T15" s="12"/>
    </row>
    <row r="16" spans="2:20" x14ac:dyDescent="0.2">
      <c r="B16" s="8" t="s">
        <v>47</v>
      </c>
      <c r="C16" s="8">
        <v>0.9948378738795538</v>
      </c>
      <c r="L16" s="8"/>
      <c r="M16" s="8"/>
      <c r="N16" s="12"/>
      <c r="O16" s="12"/>
      <c r="P16" s="12"/>
      <c r="Q16" s="12"/>
      <c r="R16" s="12"/>
      <c r="S16" s="12"/>
      <c r="T16" s="12"/>
    </row>
    <row r="17" spans="2:20" x14ac:dyDescent="0.2">
      <c r="B17" s="8" t="s">
        <v>48</v>
      </c>
      <c r="C17" s="8">
        <v>0.98970239530519111</v>
      </c>
      <c r="L17" s="12"/>
      <c r="M17" s="12"/>
      <c r="N17" s="12"/>
      <c r="O17" s="12"/>
      <c r="P17" s="12"/>
      <c r="Q17" s="12"/>
      <c r="R17" s="12"/>
      <c r="S17" s="12"/>
      <c r="T17" s="12"/>
    </row>
    <row r="18" spans="2:20" x14ac:dyDescent="0.2">
      <c r="B18" s="8" t="s">
        <v>49</v>
      </c>
      <c r="C18" s="8">
        <v>0.98455359295778666</v>
      </c>
      <c r="L18" s="12"/>
      <c r="M18" s="12"/>
      <c r="N18" s="12"/>
      <c r="O18" s="12"/>
      <c r="P18" s="12"/>
      <c r="Q18" s="12"/>
      <c r="R18" s="12"/>
      <c r="S18" s="12"/>
      <c r="T18" s="12"/>
    </row>
    <row r="19" spans="2:20" x14ac:dyDescent="0.2">
      <c r="B19" s="8" t="s">
        <v>50</v>
      </c>
      <c r="C19" s="8">
        <v>4.1880691482612926E-2</v>
      </c>
      <c r="L19" s="14"/>
      <c r="M19" s="14"/>
      <c r="N19" s="14"/>
      <c r="O19" s="14"/>
      <c r="P19" s="14"/>
      <c r="Q19" s="14"/>
      <c r="R19" s="12"/>
      <c r="S19" s="12"/>
      <c r="T19" s="12"/>
    </row>
    <row r="20" spans="2:20" ht="17" thickBot="1" x14ac:dyDescent="0.25">
      <c r="B20" s="9" t="s">
        <v>51</v>
      </c>
      <c r="C20" s="9">
        <v>4</v>
      </c>
      <c r="L20" s="8"/>
      <c r="M20" s="8"/>
      <c r="N20" s="8"/>
      <c r="O20" s="8"/>
      <c r="P20" s="8"/>
      <c r="Q20" s="8"/>
      <c r="R20" s="12"/>
      <c r="S20" s="12"/>
      <c r="T20" s="12"/>
    </row>
    <row r="21" spans="2:20" x14ac:dyDescent="0.2">
      <c r="L21" s="8"/>
      <c r="M21" s="8"/>
      <c r="N21" s="8"/>
      <c r="O21" s="8"/>
      <c r="P21" s="8"/>
      <c r="Q21" s="8"/>
      <c r="R21" s="12"/>
      <c r="S21" s="12"/>
      <c r="T21" s="12"/>
    </row>
    <row r="22" spans="2:20" ht="17" thickBot="1" x14ac:dyDescent="0.25">
      <c r="B22" t="s">
        <v>52</v>
      </c>
      <c r="L22" s="8"/>
      <c r="M22" s="8"/>
      <c r="N22" s="8"/>
      <c r="O22" s="8"/>
      <c r="P22" s="8"/>
      <c r="Q22" s="8"/>
      <c r="R22" s="12"/>
      <c r="S22" s="12"/>
      <c r="T22" s="12"/>
    </row>
    <row r="23" spans="2:20" x14ac:dyDescent="0.2">
      <c r="B23" s="10"/>
      <c r="C23" s="10" t="s">
        <v>57</v>
      </c>
      <c r="D23" s="10" t="s">
        <v>58</v>
      </c>
      <c r="E23" s="10" t="s">
        <v>59</v>
      </c>
      <c r="F23" s="10" t="s">
        <v>60</v>
      </c>
      <c r="G23" s="10" t="s">
        <v>61</v>
      </c>
      <c r="L23" s="12"/>
      <c r="M23" s="12"/>
      <c r="N23" s="12"/>
      <c r="O23" s="12"/>
      <c r="P23" s="12"/>
      <c r="Q23" s="12"/>
      <c r="R23" s="12"/>
      <c r="S23" s="12"/>
      <c r="T23" s="12"/>
    </row>
    <row r="24" spans="2:20" x14ac:dyDescent="0.2">
      <c r="B24" s="8" t="s">
        <v>53</v>
      </c>
      <c r="C24" s="8">
        <v>1</v>
      </c>
      <c r="D24" s="8">
        <v>0.33715227006091664</v>
      </c>
      <c r="E24" s="8">
        <v>0.33715227006091664</v>
      </c>
      <c r="F24" s="8">
        <v>192.21992388270894</v>
      </c>
      <c r="G24" s="8">
        <v>5.1621261204461187E-3</v>
      </c>
      <c r="L24" s="12"/>
      <c r="M24" s="12"/>
      <c r="N24" s="12"/>
      <c r="O24" s="12"/>
      <c r="P24" s="12"/>
      <c r="Q24" s="12"/>
      <c r="R24" s="12"/>
      <c r="S24" s="12"/>
      <c r="T24" s="12"/>
    </row>
    <row r="25" spans="2:20" x14ac:dyDescent="0.2">
      <c r="B25" s="8" t="s">
        <v>54</v>
      </c>
      <c r="C25" s="8">
        <v>2</v>
      </c>
      <c r="D25" s="8">
        <v>3.5079846381236134E-3</v>
      </c>
      <c r="E25" s="8">
        <v>1.7539923190618067E-3</v>
      </c>
      <c r="F25" s="8"/>
      <c r="G25" s="8"/>
      <c r="L25" s="12"/>
      <c r="M25" s="12"/>
      <c r="N25" s="12"/>
      <c r="O25" s="12"/>
      <c r="P25" s="12"/>
      <c r="Q25" s="12"/>
      <c r="R25" s="12"/>
      <c r="S25" s="12"/>
      <c r="T25" s="12"/>
    </row>
    <row r="26" spans="2:20" ht="17" thickBot="1" x14ac:dyDescent="0.25">
      <c r="B26" s="9" t="s">
        <v>55</v>
      </c>
      <c r="C26" s="9">
        <v>3</v>
      </c>
      <c r="D26" s="9">
        <v>0.34066025469904027</v>
      </c>
      <c r="E26" s="9"/>
      <c r="F26" s="9"/>
      <c r="G26" s="9"/>
      <c r="L26" s="12"/>
      <c r="M26" s="12"/>
      <c r="N26" s="12"/>
      <c r="O26" s="12"/>
      <c r="P26" s="12"/>
      <c r="Q26" s="12"/>
      <c r="R26" s="12"/>
      <c r="S26" s="12"/>
      <c r="T26" s="12"/>
    </row>
    <row r="27" spans="2:20" ht="17" thickBot="1" x14ac:dyDescent="0.25"/>
    <row r="28" spans="2:20" x14ac:dyDescent="0.2">
      <c r="B28" s="10"/>
      <c r="C28" s="10" t="s">
        <v>62</v>
      </c>
      <c r="D28" s="10" t="s">
        <v>50</v>
      </c>
      <c r="E28" s="10" t="s">
        <v>63</v>
      </c>
      <c r="F28" s="10" t="s">
        <v>64</v>
      </c>
      <c r="G28" s="10" t="s">
        <v>65</v>
      </c>
      <c r="H28" s="10" t="s">
        <v>66</v>
      </c>
      <c r="I28" s="10" t="s">
        <v>67</v>
      </c>
      <c r="J28" s="10" t="s">
        <v>68</v>
      </c>
    </row>
    <row r="29" spans="2:20" x14ac:dyDescent="0.2">
      <c r="B29" s="8" t="s">
        <v>56</v>
      </c>
      <c r="C29" s="8">
        <v>2.2835477828923536</v>
      </c>
      <c r="D29" s="8">
        <v>0.197397783780492</v>
      </c>
      <c r="E29" s="8">
        <v>11.568254410757094</v>
      </c>
      <c r="F29" s="8">
        <v>7.3897455966190108E-3</v>
      </c>
      <c r="G29" s="8">
        <v>1.4342136696627246</v>
      </c>
      <c r="H29" s="8">
        <v>3.1328818961219826</v>
      </c>
      <c r="I29" s="8">
        <v>1.4342136696627246</v>
      </c>
      <c r="J29" s="8">
        <v>3.1328818961219826</v>
      </c>
    </row>
    <row r="30" spans="2:20" ht="17" thickBot="1" x14ac:dyDescent="0.25">
      <c r="B30" s="9" t="s">
        <v>69</v>
      </c>
      <c r="C30" s="9">
        <v>1.1694708740577602</v>
      </c>
      <c r="D30" s="9">
        <v>8.4350994948627286E-2</v>
      </c>
      <c r="E30" s="9">
        <v>13.864340008911679</v>
      </c>
      <c r="F30" s="9">
        <v>5.1621261204461153E-3</v>
      </c>
      <c r="G30" s="9">
        <v>0.80653783538496582</v>
      </c>
      <c r="H30" s="9">
        <v>1.5324039127305547</v>
      </c>
      <c r="I30" s="9">
        <v>0.80653783538496582</v>
      </c>
      <c r="J30" s="9">
        <v>1.5324039127305547</v>
      </c>
    </row>
  </sheetData>
  <pageMargins left="0.7" right="0.7" top="0.75" bottom="0.75" header="0.3" footer="0.3"/>
  <pageSetup scale="32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AD40-BAB2-BD47-B053-9D2E1B43536E}">
  <dimension ref="B2:F94"/>
  <sheetViews>
    <sheetView topLeftCell="A14" workbookViewId="0">
      <selection activeCell="F37" sqref="F37"/>
    </sheetView>
  </sheetViews>
  <sheetFormatPr baseColWidth="10" defaultRowHeight="16" x14ac:dyDescent="0.2"/>
  <cols>
    <col min="2" max="2" width="23.83203125" bestFit="1" customWidth="1"/>
    <col min="3" max="3" width="13.33203125" bestFit="1" customWidth="1"/>
    <col min="4" max="4" width="18" bestFit="1" customWidth="1"/>
    <col min="5" max="5" width="13.33203125" bestFit="1" customWidth="1"/>
  </cols>
  <sheetData>
    <row r="2" spans="2:4" x14ac:dyDescent="0.2">
      <c r="B2" t="s">
        <v>0</v>
      </c>
      <c r="D2" t="s">
        <v>1</v>
      </c>
    </row>
    <row r="3" spans="2:4" x14ac:dyDescent="0.2">
      <c r="B3" t="s">
        <v>2</v>
      </c>
      <c r="C3">
        <v>2585</v>
      </c>
    </row>
    <row r="4" spans="2:4" x14ac:dyDescent="0.2">
      <c r="B4" t="s">
        <v>3</v>
      </c>
      <c r="C4" s="1">
        <v>0.74927083333333333</v>
      </c>
    </row>
    <row r="5" spans="2:4" x14ac:dyDescent="0.2">
      <c r="B5" t="s">
        <v>4</v>
      </c>
      <c r="C5" t="s">
        <v>2</v>
      </c>
    </row>
    <row r="6" spans="2:4" x14ac:dyDescent="0.2">
      <c r="B6" t="s">
        <v>5</v>
      </c>
      <c r="C6" t="s">
        <v>6</v>
      </c>
    </row>
    <row r="7" spans="2:4" x14ac:dyDescent="0.2">
      <c r="B7" t="s">
        <v>7</v>
      </c>
      <c r="C7">
        <v>2585</v>
      </c>
    </row>
    <row r="8" spans="2:4" x14ac:dyDescent="0.2">
      <c r="B8" t="s">
        <v>8</v>
      </c>
      <c r="C8" s="2">
        <v>45965</v>
      </c>
    </row>
    <row r="9" spans="2:4" x14ac:dyDescent="0.2">
      <c r="B9" t="s">
        <v>9</v>
      </c>
      <c r="C9" s="1">
        <v>0.7486342592592593</v>
      </c>
    </row>
    <row r="10" spans="2:4" x14ac:dyDescent="0.2">
      <c r="B10" t="s">
        <v>10</v>
      </c>
    </row>
    <row r="11" spans="2:4" x14ac:dyDescent="0.2">
      <c r="B11" s="3">
        <v>45965.700185185182</v>
      </c>
    </row>
    <row r="12" spans="2:4" x14ac:dyDescent="0.2">
      <c r="B12" t="s">
        <v>11</v>
      </c>
      <c r="C12" t="s">
        <v>12</v>
      </c>
    </row>
    <row r="13" spans="2:4" x14ac:dyDescent="0.2">
      <c r="B13" t="s">
        <v>13</v>
      </c>
      <c r="C13">
        <v>1</v>
      </c>
    </row>
    <row r="14" spans="2:4" x14ac:dyDescent="0.2">
      <c r="B14" t="s">
        <v>14</v>
      </c>
    </row>
    <row r="15" spans="2:4" x14ac:dyDescent="0.2">
      <c r="B15" t="s">
        <v>15</v>
      </c>
      <c r="C15" t="s">
        <v>16</v>
      </c>
    </row>
    <row r="16" spans="2:4" x14ac:dyDescent="0.2">
      <c r="B16" t="s">
        <v>17</v>
      </c>
      <c r="C16" t="s">
        <v>18</v>
      </c>
    </row>
    <row r="17" spans="2:5" x14ac:dyDescent="0.2">
      <c r="B17" t="s">
        <v>19</v>
      </c>
      <c r="C17" t="s">
        <v>20</v>
      </c>
    </row>
    <row r="18" spans="2:5" x14ac:dyDescent="0.2">
      <c r="B18" t="s">
        <v>21</v>
      </c>
      <c r="C18" t="s">
        <v>22</v>
      </c>
    </row>
    <row r="19" spans="2:5" x14ac:dyDescent="0.2">
      <c r="B19" t="s">
        <v>23</v>
      </c>
      <c r="C19">
        <v>60</v>
      </c>
    </row>
    <row r="21" spans="2:5" x14ac:dyDescent="0.2">
      <c r="B21" t="s">
        <v>24</v>
      </c>
      <c r="C21">
        <v>2</v>
      </c>
    </row>
    <row r="22" spans="2:5" x14ac:dyDescent="0.2">
      <c r="B22" t="s">
        <v>25</v>
      </c>
      <c r="C22" t="s">
        <v>26</v>
      </c>
      <c r="D22" t="s">
        <v>27</v>
      </c>
    </row>
    <row r="23" spans="2:5" x14ac:dyDescent="0.2">
      <c r="B23" t="s">
        <v>28</v>
      </c>
      <c r="C23" t="s">
        <v>28</v>
      </c>
      <c r="D23" t="s">
        <v>28</v>
      </c>
    </row>
    <row r="24" spans="2:5" x14ac:dyDescent="0.2">
      <c r="B24">
        <v>2.7E-2</v>
      </c>
      <c r="C24">
        <v>0</v>
      </c>
      <c r="D24">
        <v>2.7E-2</v>
      </c>
    </row>
    <row r="26" spans="2:5" x14ac:dyDescent="0.2">
      <c r="B26" t="s">
        <v>29</v>
      </c>
      <c r="C26" t="s">
        <v>30</v>
      </c>
      <c r="D26" t="s">
        <v>31</v>
      </c>
    </row>
    <row r="27" spans="2:5" x14ac:dyDescent="0.2">
      <c r="B27" t="s">
        <v>32</v>
      </c>
    </row>
    <row r="28" spans="2:5" x14ac:dyDescent="0.2">
      <c r="B28">
        <v>-6.0999999999999999E-2</v>
      </c>
      <c r="C28">
        <v>0</v>
      </c>
      <c r="D28">
        <v>0.24829999999999999</v>
      </c>
    </row>
    <row r="29" spans="2:5" x14ac:dyDescent="0.2">
      <c r="B29" t="s">
        <v>33</v>
      </c>
      <c r="C29" t="s">
        <v>34</v>
      </c>
    </row>
    <row r="30" spans="2:5" x14ac:dyDescent="0.2">
      <c r="B30" t="s">
        <v>35</v>
      </c>
      <c r="C30" t="s">
        <v>28</v>
      </c>
    </row>
    <row r="31" spans="2:5" x14ac:dyDescent="0.2">
      <c r="B31" s="1">
        <v>3.4722222222222224E-4</v>
      </c>
      <c r="C31">
        <v>9.5000000000000001E-2</v>
      </c>
    </row>
    <row r="32" spans="2:5" x14ac:dyDescent="0.2">
      <c r="B32" t="s">
        <v>36</v>
      </c>
      <c r="C32" t="s">
        <v>37</v>
      </c>
      <c r="D32" t="s">
        <v>36</v>
      </c>
      <c r="E32" t="s">
        <v>37</v>
      </c>
    </row>
    <row r="33" spans="2:6" x14ac:dyDescent="0.2">
      <c r="B33">
        <v>0</v>
      </c>
      <c r="C33">
        <v>2.7080199999999999E-2</v>
      </c>
      <c r="D33">
        <v>0.5</v>
      </c>
      <c r="E33">
        <v>-0.2</v>
      </c>
    </row>
    <row r="34" spans="2:6" x14ac:dyDescent="0.2">
      <c r="B34">
        <v>1.66667E-2</v>
      </c>
      <c r="C34">
        <v>7.5435100000000005E-2</v>
      </c>
      <c r="D34">
        <v>0.5</v>
      </c>
      <c r="E34">
        <v>0.301124</v>
      </c>
    </row>
    <row r="35" spans="2:6" x14ac:dyDescent="0.2">
      <c r="B35">
        <v>3.3333399999999999E-2</v>
      </c>
      <c r="C35">
        <v>7.3329599999999995E-2</v>
      </c>
    </row>
    <row r="36" spans="2:6" x14ac:dyDescent="0.2">
      <c r="B36">
        <v>5.0000099999999999E-2</v>
      </c>
      <c r="C36">
        <v>7.6063500000000006E-2</v>
      </c>
      <c r="F36" s="4" t="s">
        <v>41</v>
      </c>
    </row>
    <row r="37" spans="2:6" x14ac:dyDescent="0.2">
      <c r="B37">
        <v>6.6666799999999998E-2</v>
      </c>
      <c r="C37">
        <v>7.6242900000000002E-2</v>
      </c>
      <c r="F37" s="4">
        <f>((C34-C33)/(B34*Thermo!J15))*1000</f>
        <v>0.13317100814610469</v>
      </c>
    </row>
    <row r="38" spans="2:6" x14ac:dyDescent="0.2">
      <c r="B38">
        <v>8.3333489999999996E-2</v>
      </c>
      <c r="C38">
        <v>7.7297400000000002E-2</v>
      </c>
    </row>
    <row r="39" spans="2:6" x14ac:dyDescent="0.2">
      <c r="B39">
        <v>0.1000002</v>
      </c>
      <c r="C39">
        <v>7.86916E-2</v>
      </c>
    </row>
    <row r="40" spans="2:6" x14ac:dyDescent="0.2">
      <c r="B40">
        <v>0.1166669</v>
      </c>
      <c r="C40">
        <v>7.8080700000000003E-2</v>
      </c>
    </row>
    <row r="41" spans="2:6" x14ac:dyDescent="0.2">
      <c r="B41">
        <v>0.1333336</v>
      </c>
      <c r="C41">
        <v>8.1312700000000002E-2</v>
      </c>
    </row>
    <row r="42" spans="2:6" x14ac:dyDescent="0.2">
      <c r="B42">
        <v>0.1500003</v>
      </c>
      <c r="C42">
        <v>8.1837199999999999E-2</v>
      </c>
    </row>
    <row r="43" spans="2:6" x14ac:dyDescent="0.2">
      <c r="B43">
        <v>0.16666700000000001</v>
      </c>
      <c r="C43">
        <v>8.2166500000000003E-2</v>
      </c>
    </row>
    <row r="44" spans="2:6" x14ac:dyDescent="0.2">
      <c r="B44">
        <v>0.18333369999999999</v>
      </c>
      <c r="C44">
        <v>7.9187199999999999E-2</v>
      </c>
    </row>
    <row r="45" spans="2:6" x14ac:dyDescent="0.2">
      <c r="B45">
        <v>0.20000039999999999</v>
      </c>
      <c r="C45">
        <v>7.9335699999999995E-2</v>
      </c>
    </row>
    <row r="46" spans="2:6" x14ac:dyDescent="0.2">
      <c r="B46">
        <v>0.2166671</v>
      </c>
      <c r="C46">
        <v>8.06259E-2</v>
      </c>
    </row>
    <row r="47" spans="2:6" x14ac:dyDescent="0.2">
      <c r="B47">
        <v>0.23333380000000001</v>
      </c>
      <c r="C47">
        <v>8.2192299999999996E-2</v>
      </c>
    </row>
    <row r="48" spans="2:6" x14ac:dyDescent="0.2">
      <c r="B48">
        <v>0.25000040000000001</v>
      </c>
      <c r="C48">
        <v>8.1803000000000001E-2</v>
      </c>
    </row>
    <row r="49" spans="2:3" x14ac:dyDescent="0.2">
      <c r="B49">
        <v>0.26666719999999999</v>
      </c>
      <c r="C49">
        <v>8.3963999999999997E-2</v>
      </c>
    </row>
    <row r="50" spans="2:3" x14ac:dyDescent="0.2">
      <c r="B50">
        <v>0.28333390000000003</v>
      </c>
      <c r="C50">
        <v>8.5273699999999994E-2</v>
      </c>
    </row>
    <row r="51" spans="2:3" x14ac:dyDescent="0.2">
      <c r="B51">
        <v>0.30000060000000001</v>
      </c>
      <c r="C51">
        <v>8.6165000000000005E-2</v>
      </c>
    </row>
    <row r="52" spans="2:3" x14ac:dyDescent="0.2">
      <c r="B52">
        <v>0.31666729999999998</v>
      </c>
      <c r="C52">
        <v>8.5739899999999994E-2</v>
      </c>
    </row>
    <row r="53" spans="2:3" x14ac:dyDescent="0.2">
      <c r="B53">
        <v>0.33333400000000002</v>
      </c>
      <c r="C53">
        <v>8.6829799999999999E-2</v>
      </c>
    </row>
    <row r="54" spans="2:3" x14ac:dyDescent="0.2">
      <c r="B54">
        <v>0.3500007</v>
      </c>
      <c r="C54">
        <v>8.7070099999999997E-2</v>
      </c>
    </row>
    <row r="55" spans="2:3" x14ac:dyDescent="0.2">
      <c r="B55">
        <v>0.36666739999999998</v>
      </c>
      <c r="C55">
        <v>9.1217000000000006E-2</v>
      </c>
    </row>
    <row r="56" spans="2:3" x14ac:dyDescent="0.2">
      <c r="B56">
        <v>0.38333410000000001</v>
      </c>
      <c r="C56">
        <v>8.9430200000000001E-2</v>
      </c>
    </row>
    <row r="57" spans="2:3" x14ac:dyDescent="0.2">
      <c r="B57">
        <v>0.40000079999999999</v>
      </c>
      <c r="C57">
        <v>8.8651800000000003E-2</v>
      </c>
    </row>
    <row r="58" spans="2:3" x14ac:dyDescent="0.2">
      <c r="B58">
        <v>0.41666760000000003</v>
      </c>
      <c r="C58">
        <v>8.57797E-2</v>
      </c>
    </row>
    <row r="59" spans="2:3" x14ac:dyDescent="0.2">
      <c r="B59">
        <v>0.43333430000000001</v>
      </c>
      <c r="C59">
        <v>8.6652000000000007E-2</v>
      </c>
    </row>
    <row r="60" spans="2:3" x14ac:dyDescent="0.2">
      <c r="B60">
        <v>0.45000099999999998</v>
      </c>
      <c r="C60">
        <v>9.0311900000000001E-2</v>
      </c>
    </row>
    <row r="61" spans="2:3" x14ac:dyDescent="0.2">
      <c r="B61">
        <v>0.46666770000000002</v>
      </c>
      <c r="C61">
        <v>9.2908299999999999E-2</v>
      </c>
    </row>
    <row r="62" spans="2:3" x14ac:dyDescent="0.2">
      <c r="B62">
        <v>0.4833344</v>
      </c>
      <c r="C62">
        <v>9.0627600000000003E-2</v>
      </c>
    </row>
    <row r="63" spans="2:3" x14ac:dyDescent="0.2">
      <c r="B63">
        <v>0.50000109999999998</v>
      </c>
      <c r="C63">
        <v>9.4895999999999994E-2</v>
      </c>
    </row>
    <row r="64" spans="2:3" x14ac:dyDescent="0.2">
      <c r="B64">
        <v>0.51666780000000001</v>
      </c>
      <c r="C64">
        <v>9.7485600000000006E-2</v>
      </c>
    </row>
    <row r="65" spans="2:3" x14ac:dyDescent="0.2">
      <c r="B65">
        <v>0.53333450000000004</v>
      </c>
      <c r="C65">
        <v>9.5754300000000001E-2</v>
      </c>
    </row>
    <row r="66" spans="2:3" x14ac:dyDescent="0.2">
      <c r="B66">
        <v>0.55000119999999997</v>
      </c>
      <c r="C66">
        <v>9.7422400000000006E-2</v>
      </c>
    </row>
    <row r="67" spans="2:3" x14ac:dyDescent="0.2">
      <c r="B67">
        <v>0.5666679</v>
      </c>
      <c r="C67">
        <v>9.7427200000000005E-2</v>
      </c>
    </row>
    <row r="68" spans="2:3" x14ac:dyDescent="0.2">
      <c r="B68">
        <v>0.58333460000000004</v>
      </c>
      <c r="C68">
        <v>9.8448800000000003E-2</v>
      </c>
    </row>
    <row r="69" spans="2:3" x14ac:dyDescent="0.2">
      <c r="B69">
        <v>0.60000129999999996</v>
      </c>
      <c r="C69">
        <v>9.8005200000000001E-2</v>
      </c>
    </row>
    <row r="70" spans="2:3" x14ac:dyDescent="0.2">
      <c r="B70">
        <v>0.61666799999999999</v>
      </c>
      <c r="C70">
        <v>9.6512500000000001E-2</v>
      </c>
    </row>
    <row r="71" spans="2:3" x14ac:dyDescent="0.2">
      <c r="B71">
        <v>0.63333479999999998</v>
      </c>
      <c r="C71">
        <v>9.5091700000000001E-2</v>
      </c>
    </row>
    <row r="72" spans="2:3" x14ac:dyDescent="0.2">
      <c r="B72">
        <v>0.65000150000000001</v>
      </c>
      <c r="C72">
        <v>0.10112400000000001</v>
      </c>
    </row>
    <row r="73" spans="2:3" x14ac:dyDescent="0.2">
      <c r="B73">
        <v>0.66666820000000004</v>
      </c>
      <c r="C73">
        <v>9.47239E-2</v>
      </c>
    </row>
    <row r="74" spans="2:3" x14ac:dyDescent="0.2">
      <c r="B74">
        <v>0.68333489999999997</v>
      </c>
      <c r="C74">
        <v>9.4773300000000005E-2</v>
      </c>
    </row>
    <row r="75" spans="2:3" x14ac:dyDescent="0.2">
      <c r="B75">
        <v>0.7000016</v>
      </c>
      <c r="C75">
        <v>9.8266400000000004E-2</v>
      </c>
    </row>
    <row r="76" spans="2:3" x14ac:dyDescent="0.2">
      <c r="B76">
        <v>0.71666830000000004</v>
      </c>
      <c r="C76">
        <v>9.72417E-2</v>
      </c>
    </row>
    <row r="77" spans="2:3" x14ac:dyDescent="0.2">
      <c r="B77">
        <v>0.73333499999999996</v>
      </c>
      <c r="C77">
        <v>9.4954499999999997E-2</v>
      </c>
    </row>
    <row r="78" spans="2:3" x14ac:dyDescent="0.2">
      <c r="B78">
        <v>0.75000169999999999</v>
      </c>
      <c r="C78">
        <v>9.4660999999999995E-2</v>
      </c>
    </row>
    <row r="79" spans="2:3" x14ac:dyDescent="0.2">
      <c r="B79">
        <v>0.76666840000000003</v>
      </c>
      <c r="C79">
        <v>9.7182299999999999E-2</v>
      </c>
    </row>
    <row r="80" spans="2:3" x14ac:dyDescent="0.2">
      <c r="B80">
        <v>0.78333509999999995</v>
      </c>
      <c r="C80">
        <v>9.3235399999999996E-2</v>
      </c>
    </row>
    <row r="81" spans="2:4" x14ac:dyDescent="0.2">
      <c r="B81">
        <v>0.80000190000000004</v>
      </c>
      <c r="C81">
        <v>9.5134099999999999E-2</v>
      </c>
    </row>
    <row r="94" spans="2:4" x14ac:dyDescent="0.2">
      <c r="D94" t="s">
        <v>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ACAD-A62E-B049-844F-C679823D0DA0}">
  <dimension ref="B2:F94"/>
  <sheetViews>
    <sheetView topLeftCell="A6" workbookViewId="0">
      <selection activeCell="F38" sqref="F38"/>
    </sheetView>
  </sheetViews>
  <sheetFormatPr baseColWidth="10" defaultRowHeight="16" x14ac:dyDescent="0.2"/>
  <cols>
    <col min="2" max="2" width="23.83203125" bestFit="1" customWidth="1"/>
    <col min="3" max="3" width="13.33203125" bestFit="1" customWidth="1"/>
    <col min="4" max="4" width="18" bestFit="1" customWidth="1"/>
    <col min="5" max="5" width="13.33203125" bestFit="1" customWidth="1"/>
  </cols>
  <sheetData>
    <row r="2" spans="2:4" x14ac:dyDescent="0.2">
      <c r="B2" t="s">
        <v>0</v>
      </c>
      <c r="D2" t="s">
        <v>38</v>
      </c>
    </row>
    <row r="3" spans="2:4" x14ac:dyDescent="0.2">
      <c r="B3" t="s">
        <v>2</v>
      </c>
      <c r="C3">
        <v>2585</v>
      </c>
    </row>
    <row r="4" spans="2:4" x14ac:dyDescent="0.2">
      <c r="B4" t="s">
        <v>3</v>
      </c>
      <c r="C4" s="1">
        <v>0.75395833333333329</v>
      </c>
    </row>
    <row r="5" spans="2:4" x14ac:dyDescent="0.2">
      <c r="B5" t="s">
        <v>4</v>
      </c>
      <c r="C5" t="s">
        <v>2</v>
      </c>
    </row>
    <row r="6" spans="2:4" x14ac:dyDescent="0.2">
      <c r="B6" t="s">
        <v>5</v>
      </c>
      <c r="C6" t="s">
        <v>6</v>
      </c>
    </row>
    <row r="7" spans="2:4" x14ac:dyDescent="0.2">
      <c r="B7" t="s">
        <v>7</v>
      </c>
      <c r="C7">
        <v>2585</v>
      </c>
    </row>
    <row r="8" spans="2:4" x14ac:dyDescent="0.2">
      <c r="B8" t="s">
        <v>8</v>
      </c>
      <c r="C8" s="2">
        <v>45965</v>
      </c>
    </row>
    <row r="9" spans="2:4" x14ac:dyDescent="0.2">
      <c r="B9" t="s">
        <v>9</v>
      </c>
      <c r="C9" s="1">
        <v>0.7533333333333333</v>
      </c>
    </row>
    <row r="10" spans="2:4" x14ac:dyDescent="0.2">
      <c r="B10" t="s">
        <v>10</v>
      </c>
    </row>
    <row r="11" spans="2:4" x14ac:dyDescent="0.2">
      <c r="B11" s="3">
        <v>45965.700185185182</v>
      </c>
    </row>
    <row r="12" spans="2:4" x14ac:dyDescent="0.2">
      <c r="B12" t="s">
        <v>11</v>
      </c>
      <c r="C12" t="s">
        <v>12</v>
      </c>
    </row>
    <row r="13" spans="2:4" x14ac:dyDescent="0.2">
      <c r="B13" t="s">
        <v>13</v>
      </c>
      <c r="C13">
        <v>1</v>
      </c>
    </row>
    <row r="14" spans="2:4" x14ac:dyDescent="0.2">
      <c r="B14" t="s">
        <v>14</v>
      </c>
    </row>
    <row r="15" spans="2:4" x14ac:dyDescent="0.2">
      <c r="B15" t="s">
        <v>15</v>
      </c>
      <c r="C15" t="s">
        <v>16</v>
      </c>
    </row>
    <row r="16" spans="2:4" x14ac:dyDescent="0.2">
      <c r="B16" t="s">
        <v>17</v>
      </c>
      <c r="C16" t="s">
        <v>18</v>
      </c>
    </row>
    <row r="17" spans="2:5" x14ac:dyDescent="0.2">
      <c r="B17" t="s">
        <v>19</v>
      </c>
      <c r="C17" t="s">
        <v>20</v>
      </c>
    </row>
    <row r="18" spans="2:5" x14ac:dyDescent="0.2">
      <c r="B18" t="s">
        <v>21</v>
      </c>
      <c r="C18" t="s">
        <v>22</v>
      </c>
    </row>
    <row r="19" spans="2:5" x14ac:dyDescent="0.2">
      <c r="B19" t="s">
        <v>23</v>
      </c>
      <c r="C19">
        <v>60</v>
      </c>
    </row>
    <row r="21" spans="2:5" x14ac:dyDescent="0.2">
      <c r="B21" t="s">
        <v>24</v>
      </c>
      <c r="C21">
        <v>4</v>
      </c>
    </row>
    <row r="22" spans="2:5" x14ac:dyDescent="0.2">
      <c r="B22" t="s">
        <v>25</v>
      </c>
      <c r="C22" t="s">
        <v>26</v>
      </c>
      <c r="D22" t="s">
        <v>27</v>
      </c>
    </row>
    <row r="23" spans="2:5" x14ac:dyDescent="0.2">
      <c r="B23" t="s">
        <v>28</v>
      </c>
      <c r="C23" t="s">
        <v>28</v>
      </c>
      <c r="D23" t="s">
        <v>28</v>
      </c>
    </row>
    <row r="24" spans="2:5" x14ac:dyDescent="0.2">
      <c r="B24">
        <v>6.2E-2</v>
      </c>
      <c r="C24">
        <v>0</v>
      </c>
      <c r="D24">
        <v>6.2E-2</v>
      </c>
    </row>
    <row r="26" spans="2:5" x14ac:dyDescent="0.2">
      <c r="B26" t="s">
        <v>29</v>
      </c>
      <c r="C26" t="s">
        <v>30</v>
      </c>
      <c r="D26" t="s">
        <v>31</v>
      </c>
    </row>
    <row r="27" spans="2:5" x14ac:dyDescent="0.2">
      <c r="B27" t="s">
        <v>32</v>
      </c>
    </row>
    <row r="28" spans="2:5" x14ac:dyDescent="0.2">
      <c r="B28">
        <v>-0.16</v>
      </c>
      <c r="C28">
        <v>0</v>
      </c>
      <c r="D28">
        <v>0.38990000000000002</v>
      </c>
    </row>
    <row r="29" spans="2:5" x14ac:dyDescent="0.2">
      <c r="B29" t="s">
        <v>33</v>
      </c>
      <c r="C29" t="s">
        <v>34</v>
      </c>
    </row>
    <row r="30" spans="2:5" x14ac:dyDescent="0.2">
      <c r="B30" t="s">
        <v>35</v>
      </c>
      <c r="C30" t="s">
        <v>28</v>
      </c>
    </row>
    <row r="31" spans="2:5" x14ac:dyDescent="0.2">
      <c r="B31" s="1">
        <v>3.4722222222222224E-4</v>
      </c>
      <c r="C31">
        <v>0.184</v>
      </c>
    </row>
    <row r="32" spans="2:5" x14ac:dyDescent="0.2">
      <c r="B32" t="s">
        <v>36</v>
      </c>
      <c r="C32" t="s">
        <v>37</v>
      </c>
      <c r="D32" t="s">
        <v>36</v>
      </c>
      <c r="E32" t="s">
        <v>37</v>
      </c>
    </row>
    <row r="33" spans="2:6" x14ac:dyDescent="0.2">
      <c r="B33">
        <v>0</v>
      </c>
      <c r="C33">
        <v>6.2199400000000002E-2</v>
      </c>
      <c r="D33">
        <v>0.5</v>
      </c>
      <c r="E33">
        <v>-0.2</v>
      </c>
    </row>
    <row r="34" spans="2:6" x14ac:dyDescent="0.2">
      <c r="B34">
        <v>1.66667E-2</v>
      </c>
      <c r="C34">
        <v>0.174841</v>
      </c>
      <c r="D34">
        <v>0.5</v>
      </c>
      <c r="E34">
        <v>0.392378</v>
      </c>
    </row>
    <row r="35" spans="2:6" x14ac:dyDescent="0.2">
      <c r="B35">
        <v>3.3333399999999999E-2</v>
      </c>
      <c r="C35">
        <v>0.17307</v>
      </c>
    </row>
    <row r="36" spans="2:6" x14ac:dyDescent="0.2">
      <c r="B36">
        <v>5.0000099999999999E-2</v>
      </c>
      <c r="C36">
        <v>0.17206299999999999</v>
      </c>
      <c r="F36" s="4" t="s">
        <v>41</v>
      </c>
    </row>
    <row r="37" spans="2:6" x14ac:dyDescent="0.2">
      <c r="B37">
        <v>6.6666799999999998E-2</v>
      </c>
      <c r="C37">
        <v>0.171649</v>
      </c>
      <c r="F37" s="4">
        <f>((C34-C33)/(B34*Thermo!J15))*1000</f>
        <v>0.31021872511762538</v>
      </c>
    </row>
    <row r="38" spans="2:6" x14ac:dyDescent="0.2">
      <c r="B38">
        <v>8.3333489999999996E-2</v>
      </c>
      <c r="C38">
        <v>0.175147</v>
      </c>
    </row>
    <row r="39" spans="2:6" x14ac:dyDescent="0.2">
      <c r="B39">
        <v>0.1000002</v>
      </c>
      <c r="C39">
        <v>0.176008</v>
      </c>
    </row>
    <row r="40" spans="2:6" x14ac:dyDescent="0.2">
      <c r="B40">
        <v>0.1166669</v>
      </c>
      <c r="C40">
        <v>0.17627100000000001</v>
      </c>
    </row>
    <row r="41" spans="2:6" x14ac:dyDescent="0.2">
      <c r="B41">
        <v>0.1333336</v>
      </c>
      <c r="C41">
        <v>0.17619599999999999</v>
      </c>
    </row>
    <row r="42" spans="2:6" x14ac:dyDescent="0.2">
      <c r="B42">
        <v>0.1500003</v>
      </c>
      <c r="C42">
        <v>0.181646</v>
      </c>
    </row>
    <row r="43" spans="2:6" x14ac:dyDescent="0.2">
      <c r="B43">
        <v>0.16666700000000001</v>
      </c>
      <c r="C43">
        <v>0.183253</v>
      </c>
    </row>
    <row r="44" spans="2:6" x14ac:dyDescent="0.2">
      <c r="B44">
        <v>0.18333369999999999</v>
      </c>
      <c r="C44">
        <v>0.183729</v>
      </c>
    </row>
    <row r="45" spans="2:6" x14ac:dyDescent="0.2">
      <c r="B45">
        <v>0.20000039999999999</v>
      </c>
      <c r="C45">
        <v>0.179726</v>
      </c>
    </row>
    <row r="46" spans="2:6" x14ac:dyDescent="0.2">
      <c r="B46">
        <v>0.2166671</v>
      </c>
      <c r="C46">
        <v>0.17369899999999999</v>
      </c>
    </row>
    <row r="47" spans="2:6" x14ac:dyDescent="0.2">
      <c r="B47">
        <v>0.23333380000000001</v>
      </c>
      <c r="C47">
        <v>0.175093</v>
      </c>
    </row>
    <row r="48" spans="2:6" x14ac:dyDescent="0.2">
      <c r="B48">
        <v>0.25000040000000001</v>
      </c>
      <c r="C48">
        <v>0.172902</v>
      </c>
    </row>
    <row r="49" spans="2:3" x14ac:dyDescent="0.2">
      <c r="B49">
        <v>0.26666719999999999</v>
      </c>
      <c r="C49">
        <v>0.17600499999999999</v>
      </c>
    </row>
    <row r="50" spans="2:3" x14ac:dyDescent="0.2">
      <c r="B50">
        <v>0.28333390000000003</v>
      </c>
      <c r="C50">
        <v>0.177452</v>
      </c>
    </row>
    <row r="51" spans="2:3" x14ac:dyDescent="0.2">
      <c r="B51">
        <v>0.30000060000000001</v>
      </c>
      <c r="C51">
        <v>0.176903</v>
      </c>
    </row>
    <row r="52" spans="2:3" x14ac:dyDescent="0.2">
      <c r="B52">
        <v>0.31666729999999998</v>
      </c>
      <c r="C52">
        <v>0.180976</v>
      </c>
    </row>
    <row r="53" spans="2:3" x14ac:dyDescent="0.2">
      <c r="B53">
        <v>0.33333400000000002</v>
      </c>
      <c r="C53">
        <v>0.17909700000000001</v>
      </c>
    </row>
    <row r="54" spans="2:3" x14ac:dyDescent="0.2">
      <c r="B54">
        <v>0.3500007</v>
      </c>
      <c r="C54">
        <v>0.18146300000000001</v>
      </c>
    </row>
    <row r="55" spans="2:3" x14ac:dyDescent="0.2">
      <c r="B55">
        <v>0.36666739999999998</v>
      </c>
      <c r="C55">
        <v>0.181227</v>
      </c>
    </row>
    <row r="56" spans="2:3" x14ac:dyDescent="0.2">
      <c r="B56">
        <v>0.38333410000000001</v>
      </c>
      <c r="C56">
        <v>0.180896</v>
      </c>
    </row>
    <row r="57" spans="2:3" x14ac:dyDescent="0.2">
      <c r="B57">
        <v>0.40000079999999999</v>
      </c>
      <c r="C57">
        <v>0.18337600000000001</v>
      </c>
    </row>
    <row r="58" spans="2:3" x14ac:dyDescent="0.2">
      <c r="B58">
        <v>0.41666760000000003</v>
      </c>
      <c r="C58">
        <v>0.182032</v>
      </c>
    </row>
    <row r="59" spans="2:3" x14ac:dyDescent="0.2">
      <c r="B59">
        <v>0.43333430000000001</v>
      </c>
      <c r="C59">
        <v>0.184056</v>
      </c>
    </row>
    <row r="60" spans="2:3" x14ac:dyDescent="0.2">
      <c r="B60">
        <v>0.45000099999999998</v>
      </c>
      <c r="C60">
        <v>0.18059600000000001</v>
      </c>
    </row>
    <row r="61" spans="2:3" x14ac:dyDescent="0.2">
      <c r="B61">
        <v>0.46666770000000002</v>
      </c>
      <c r="C61">
        <v>0.18271599999999999</v>
      </c>
    </row>
    <row r="62" spans="2:3" x14ac:dyDescent="0.2">
      <c r="B62">
        <v>0.4833344</v>
      </c>
      <c r="C62">
        <v>0.18273700000000001</v>
      </c>
    </row>
    <row r="63" spans="2:3" x14ac:dyDescent="0.2">
      <c r="B63">
        <v>0.50000109999999998</v>
      </c>
      <c r="C63">
        <v>0.18421299999999999</v>
      </c>
    </row>
    <row r="64" spans="2:3" x14ac:dyDescent="0.2">
      <c r="B64">
        <v>0.51666780000000001</v>
      </c>
      <c r="C64">
        <v>0.186083</v>
      </c>
    </row>
    <row r="65" spans="2:3" x14ac:dyDescent="0.2">
      <c r="B65">
        <v>0.53333450000000004</v>
      </c>
      <c r="C65">
        <v>0.183337</v>
      </c>
    </row>
    <row r="66" spans="2:3" x14ac:dyDescent="0.2">
      <c r="B66">
        <v>0.55000119999999997</v>
      </c>
      <c r="C66">
        <v>0.18793299999999999</v>
      </c>
    </row>
    <row r="67" spans="2:3" x14ac:dyDescent="0.2">
      <c r="B67">
        <v>0.5666679</v>
      </c>
      <c r="C67">
        <v>0.18991</v>
      </c>
    </row>
    <row r="68" spans="2:3" x14ac:dyDescent="0.2">
      <c r="B68">
        <v>0.58333460000000004</v>
      </c>
      <c r="C68">
        <v>0.187139</v>
      </c>
    </row>
    <row r="69" spans="2:3" x14ac:dyDescent="0.2">
      <c r="B69">
        <v>0.60000129999999996</v>
      </c>
      <c r="C69">
        <v>0.183867</v>
      </c>
    </row>
    <row r="70" spans="2:3" x14ac:dyDescent="0.2">
      <c r="B70">
        <v>0.61666799999999999</v>
      </c>
      <c r="C70">
        <v>0.18485499999999999</v>
      </c>
    </row>
    <row r="71" spans="2:3" x14ac:dyDescent="0.2">
      <c r="B71">
        <v>0.63333479999999998</v>
      </c>
      <c r="C71">
        <v>0.19237799999999999</v>
      </c>
    </row>
    <row r="72" spans="2:3" x14ac:dyDescent="0.2">
      <c r="B72">
        <v>0.65000150000000001</v>
      </c>
      <c r="C72">
        <v>0.18692900000000001</v>
      </c>
    </row>
    <row r="73" spans="2:3" x14ac:dyDescent="0.2">
      <c r="B73">
        <v>0.66666820000000004</v>
      </c>
      <c r="C73">
        <v>0.18720700000000001</v>
      </c>
    </row>
    <row r="74" spans="2:3" x14ac:dyDescent="0.2">
      <c r="B74">
        <v>0.68333489999999997</v>
      </c>
      <c r="C74">
        <v>0.186446</v>
      </c>
    </row>
    <row r="75" spans="2:3" x14ac:dyDescent="0.2">
      <c r="B75">
        <v>0.7000016</v>
      </c>
      <c r="C75">
        <v>0.186302</v>
      </c>
    </row>
    <row r="76" spans="2:3" x14ac:dyDescent="0.2">
      <c r="B76">
        <v>0.71666830000000004</v>
      </c>
      <c r="C76">
        <v>0.187224</v>
      </c>
    </row>
    <row r="77" spans="2:3" x14ac:dyDescent="0.2">
      <c r="B77">
        <v>0.73333499999999996</v>
      </c>
      <c r="C77">
        <v>0.18490100000000001</v>
      </c>
    </row>
    <row r="78" spans="2:3" x14ac:dyDescent="0.2">
      <c r="B78">
        <v>0.75000169999999999</v>
      </c>
      <c r="C78">
        <v>0.18637200000000001</v>
      </c>
    </row>
    <row r="79" spans="2:3" x14ac:dyDescent="0.2">
      <c r="B79">
        <v>0.76666840000000003</v>
      </c>
      <c r="C79">
        <v>0.187921</v>
      </c>
    </row>
    <row r="80" spans="2:3" x14ac:dyDescent="0.2">
      <c r="B80">
        <v>0.78333509999999995</v>
      </c>
      <c r="C80">
        <v>0.185447</v>
      </c>
    </row>
    <row r="94" spans="4:4" x14ac:dyDescent="0.2">
      <c r="D94" t="s">
        <v>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1E69-6097-C54B-A770-D19B70D0F6F6}">
  <dimension ref="B2:F94"/>
  <sheetViews>
    <sheetView topLeftCell="A12" workbookViewId="0">
      <selection activeCell="F37" sqref="F37"/>
    </sheetView>
  </sheetViews>
  <sheetFormatPr baseColWidth="10" defaultRowHeight="16" x14ac:dyDescent="0.2"/>
  <cols>
    <col min="2" max="2" width="23.83203125" bestFit="1" customWidth="1"/>
    <col min="3" max="3" width="13.33203125" bestFit="1" customWidth="1"/>
    <col min="4" max="4" width="18" bestFit="1" customWidth="1"/>
    <col min="5" max="5" width="13.33203125" bestFit="1" customWidth="1"/>
  </cols>
  <sheetData>
    <row r="2" spans="2:4" x14ac:dyDescent="0.2">
      <c r="B2" t="s">
        <v>0</v>
      </c>
      <c r="D2" t="s">
        <v>39</v>
      </c>
    </row>
    <row r="3" spans="2:4" x14ac:dyDescent="0.2">
      <c r="B3" t="s">
        <v>2</v>
      </c>
      <c r="C3">
        <v>2585</v>
      </c>
    </row>
    <row r="4" spans="2:4" x14ac:dyDescent="0.2">
      <c r="B4" t="s">
        <v>3</v>
      </c>
      <c r="C4" s="1">
        <v>0.75922453703703707</v>
      </c>
    </row>
    <row r="5" spans="2:4" x14ac:dyDescent="0.2">
      <c r="B5" t="s">
        <v>4</v>
      </c>
      <c r="C5" t="s">
        <v>2</v>
      </c>
    </row>
    <row r="6" spans="2:4" x14ac:dyDescent="0.2">
      <c r="B6" t="s">
        <v>5</v>
      </c>
      <c r="C6" t="s">
        <v>6</v>
      </c>
    </row>
    <row r="7" spans="2:4" x14ac:dyDescent="0.2">
      <c r="B7" t="s">
        <v>7</v>
      </c>
      <c r="C7">
        <v>2585</v>
      </c>
    </row>
    <row r="8" spans="2:4" x14ac:dyDescent="0.2">
      <c r="B8" t="s">
        <v>8</v>
      </c>
      <c r="C8" s="2">
        <v>45965</v>
      </c>
    </row>
    <row r="9" spans="2:4" x14ac:dyDescent="0.2">
      <c r="B9" t="s">
        <v>9</v>
      </c>
      <c r="C9" s="1">
        <v>0.75858796296296294</v>
      </c>
    </row>
    <row r="10" spans="2:4" x14ac:dyDescent="0.2">
      <c r="B10" t="s">
        <v>10</v>
      </c>
    </row>
    <row r="11" spans="2:4" x14ac:dyDescent="0.2">
      <c r="B11" s="3">
        <v>45965.700185185182</v>
      </c>
    </row>
    <row r="12" spans="2:4" x14ac:dyDescent="0.2">
      <c r="B12" t="s">
        <v>11</v>
      </c>
      <c r="C12" t="s">
        <v>12</v>
      </c>
    </row>
    <row r="13" spans="2:4" x14ac:dyDescent="0.2">
      <c r="B13" t="s">
        <v>13</v>
      </c>
      <c r="C13">
        <v>1</v>
      </c>
    </row>
    <row r="14" spans="2:4" x14ac:dyDescent="0.2">
      <c r="B14" t="s">
        <v>14</v>
      </c>
    </row>
    <row r="15" spans="2:4" x14ac:dyDescent="0.2">
      <c r="B15" t="s">
        <v>15</v>
      </c>
      <c r="C15" t="s">
        <v>16</v>
      </c>
    </row>
    <row r="16" spans="2:4" x14ac:dyDescent="0.2">
      <c r="B16" t="s">
        <v>17</v>
      </c>
      <c r="C16" t="s">
        <v>18</v>
      </c>
    </row>
    <row r="17" spans="2:5" x14ac:dyDescent="0.2">
      <c r="B17" t="s">
        <v>19</v>
      </c>
      <c r="C17" t="s">
        <v>20</v>
      </c>
    </row>
    <row r="18" spans="2:5" x14ac:dyDescent="0.2">
      <c r="B18" t="s">
        <v>21</v>
      </c>
      <c r="C18" t="s">
        <v>22</v>
      </c>
    </row>
    <row r="19" spans="2:5" x14ac:dyDescent="0.2">
      <c r="B19" t="s">
        <v>23</v>
      </c>
      <c r="C19">
        <v>60</v>
      </c>
    </row>
    <row r="21" spans="2:5" x14ac:dyDescent="0.2">
      <c r="B21" t="s">
        <v>24</v>
      </c>
      <c r="C21">
        <v>5</v>
      </c>
    </row>
    <row r="22" spans="2:5" x14ac:dyDescent="0.2">
      <c r="B22" t="s">
        <v>25</v>
      </c>
      <c r="C22" t="s">
        <v>26</v>
      </c>
      <c r="D22" t="s">
        <v>27</v>
      </c>
    </row>
    <row r="23" spans="2:5" x14ac:dyDescent="0.2">
      <c r="B23" t="s">
        <v>28</v>
      </c>
      <c r="C23" t="s">
        <v>28</v>
      </c>
      <c r="D23" t="s">
        <v>28</v>
      </c>
    </row>
    <row r="24" spans="2:5" x14ac:dyDescent="0.2">
      <c r="B24">
        <v>3.6999999999999998E-2</v>
      </c>
      <c r="C24">
        <v>0</v>
      </c>
      <c r="D24">
        <v>3.6999999999999998E-2</v>
      </c>
    </row>
    <row r="26" spans="2:5" x14ac:dyDescent="0.2">
      <c r="B26" t="s">
        <v>29</v>
      </c>
      <c r="C26" t="s">
        <v>30</v>
      </c>
      <c r="D26" t="s">
        <v>31</v>
      </c>
    </row>
    <row r="27" spans="2:5" x14ac:dyDescent="0.2">
      <c r="B27" t="s">
        <v>32</v>
      </c>
    </row>
    <row r="28" spans="2:5" x14ac:dyDescent="0.2">
      <c r="B28">
        <v>-0.24</v>
      </c>
      <c r="C28">
        <v>0</v>
      </c>
      <c r="D28">
        <v>0.3674</v>
      </c>
    </row>
    <row r="29" spans="2:5" x14ac:dyDescent="0.2">
      <c r="B29" t="s">
        <v>33</v>
      </c>
      <c r="C29" t="s">
        <v>34</v>
      </c>
    </row>
    <row r="30" spans="2:5" x14ac:dyDescent="0.2">
      <c r="B30" t="s">
        <v>35</v>
      </c>
      <c r="C30" t="s">
        <v>28</v>
      </c>
    </row>
    <row r="31" spans="2:5" x14ac:dyDescent="0.2">
      <c r="B31" s="1">
        <v>3.4722222222222224E-4</v>
      </c>
      <c r="C31">
        <v>0.28100000000000003</v>
      </c>
    </row>
    <row r="32" spans="2:5" x14ac:dyDescent="0.2">
      <c r="B32" t="s">
        <v>36</v>
      </c>
      <c r="C32" t="s">
        <v>37</v>
      </c>
      <c r="D32" t="s">
        <v>36</v>
      </c>
      <c r="E32" t="s">
        <v>37</v>
      </c>
    </row>
    <row r="33" spans="2:6" x14ac:dyDescent="0.2">
      <c r="B33">
        <v>0</v>
      </c>
      <c r="C33">
        <v>3.7332700000000003E-2</v>
      </c>
      <c r="D33">
        <v>0.5</v>
      </c>
      <c r="E33">
        <v>0</v>
      </c>
    </row>
    <row r="34" spans="2:6" x14ac:dyDescent="0.2">
      <c r="B34">
        <v>1.66667E-2</v>
      </c>
      <c r="C34">
        <v>0.23244600000000001</v>
      </c>
      <c r="D34">
        <v>0.5</v>
      </c>
      <c r="E34">
        <v>0.28878100000000001</v>
      </c>
    </row>
    <row r="35" spans="2:6" x14ac:dyDescent="0.2">
      <c r="B35">
        <v>3.3333399999999999E-2</v>
      </c>
      <c r="C35">
        <v>0.25216</v>
      </c>
    </row>
    <row r="36" spans="2:6" x14ac:dyDescent="0.2">
      <c r="B36">
        <v>5.0000099999999999E-2</v>
      </c>
      <c r="C36">
        <v>0.26393299999999997</v>
      </c>
      <c r="F36" t="s">
        <v>41</v>
      </c>
    </row>
    <row r="37" spans="2:6" x14ac:dyDescent="0.2">
      <c r="B37">
        <v>6.6666799999999998E-2</v>
      </c>
      <c r="C37">
        <v>0.27115600000000001</v>
      </c>
      <c r="F37" s="4">
        <f>((C34-C33)/(B34*Thermo!J15))*1000</f>
        <v>0.53734853890119438</v>
      </c>
    </row>
    <row r="38" spans="2:6" x14ac:dyDescent="0.2">
      <c r="B38">
        <v>8.3333489999999996E-2</v>
      </c>
      <c r="C38">
        <v>0.27340999999999999</v>
      </c>
    </row>
    <row r="39" spans="2:6" x14ac:dyDescent="0.2">
      <c r="B39">
        <v>0.1000002</v>
      </c>
      <c r="C39">
        <v>0.27463700000000002</v>
      </c>
    </row>
    <row r="40" spans="2:6" x14ac:dyDescent="0.2">
      <c r="B40">
        <v>0.1166669</v>
      </c>
      <c r="C40">
        <v>0.27270899999999998</v>
      </c>
    </row>
    <row r="41" spans="2:6" x14ac:dyDescent="0.2">
      <c r="B41">
        <v>0.1333336</v>
      </c>
      <c r="C41">
        <v>0.26725500000000002</v>
      </c>
    </row>
    <row r="42" spans="2:6" x14ac:dyDescent="0.2">
      <c r="B42">
        <v>0.1500003</v>
      </c>
      <c r="C42">
        <v>0.26667600000000002</v>
      </c>
    </row>
    <row r="43" spans="2:6" x14ac:dyDescent="0.2">
      <c r="B43">
        <v>0.16666700000000001</v>
      </c>
      <c r="C43">
        <v>0.27189000000000002</v>
      </c>
    </row>
    <row r="44" spans="2:6" x14ac:dyDescent="0.2">
      <c r="B44">
        <v>0.18333369999999999</v>
      </c>
      <c r="C44">
        <v>0.27954400000000001</v>
      </c>
    </row>
    <row r="45" spans="2:6" x14ac:dyDescent="0.2">
      <c r="B45">
        <v>0.20000039999999999</v>
      </c>
      <c r="C45">
        <v>0.28133200000000003</v>
      </c>
    </row>
    <row r="46" spans="2:6" x14ac:dyDescent="0.2">
      <c r="B46">
        <v>0.2166671</v>
      </c>
      <c r="C46">
        <v>0.27696399999999999</v>
      </c>
    </row>
    <row r="47" spans="2:6" x14ac:dyDescent="0.2">
      <c r="B47">
        <v>0.23333380000000001</v>
      </c>
      <c r="C47">
        <v>0.27476800000000001</v>
      </c>
    </row>
    <row r="48" spans="2:6" x14ac:dyDescent="0.2">
      <c r="B48">
        <v>0.25000040000000001</v>
      </c>
      <c r="C48">
        <v>0.272206</v>
      </c>
    </row>
    <row r="49" spans="2:3" x14ac:dyDescent="0.2">
      <c r="B49">
        <v>0.26666719999999999</v>
      </c>
      <c r="C49">
        <v>0.27898000000000001</v>
      </c>
    </row>
    <row r="50" spans="2:3" x14ac:dyDescent="0.2">
      <c r="B50">
        <v>0.28333390000000003</v>
      </c>
      <c r="C50">
        <v>0.27863500000000002</v>
      </c>
    </row>
    <row r="51" spans="2:3" x14ac:dyDescent="0.2">
      <c r="B51">
        <v>0.30000060000000001</v>
      </c>
      <c r="C51">
        <v>0.28034399999999998</v>
      </c>
    </row>
    <row r="52" spans="2:3" x14ac:dyDescent="0.2">
      <c r="B52">
        <v>0.31666729999999998</v>
      </c>
      <c r="C52">
        <v>0.28037600000000001</v>
      </c>
    </row>
    <row r="53" spans="2:3" x14ac:dyDescent="0.2">
      <c r="B53">
        <v>0.33333400000000002</v>
      </c>
      <c r="C53">
        <v>0.28069899999999998</v>
      </c>
    </row>
    <row r="54" spans="2:3" x14ac:dyDescent="0.2">
      <c r="B54">
        <v>0.3500007</v>
      </c>
      <c r="C54">
        <v>0.277169</v>
      </c>
    </row>
    <row r="55" spans="2:3" x14ac:dyDescent="0.2">
      <c r="B55">
        <v>0.36666739999999998</v>
      </c>
      <c r="C55">
        <v>0.27995799999999998</v>
      </c>
    </row>
    <row r="56" spans="2:3" x14ac:dyDescent="0.2">
      <c r="B56">
        <v>0.38333410000000001</v>
      </c>
      <c r="C56">
        <v>0.27976400000000001</v>
      </c>
    </row>
    <row r="57" spans="2:3" x14ac:dyDescent="0.2">
      <c r="B57">
        <v>0.40000079999999999</v>
      </c>
      <c r="C57">
        <v>0.27956900000000001</v>
      </c>
    </row>
    <row r="58" spans="2:3" x14ac:dyDescent="0.2">
      <c r="B58">
        <v>0.41666760000000003</v>
      </c>
      <c r="C58">
        <v>0.28060400000000002</v>
      </c>
    </row>
    <row r="59" spans="2:3" x14ac:dyDescent="0.2">
      <c r="B59">
        <v>0.43333430000000001</v>
      </c>
      <c r="C59">
        <v>0.280362</v>
      </c>
    </row>
    <row r="60" spans="2:3" x14ac:dyDescent="0.2">
      <c r="B60">
        <v>0.45000099999999998</v>
      </c>
      <c r="C60">
        <v>0.28229599999999999</v>
      </c>
    </row>
    <row r="61" spans="2:3" x14ac:dyDescent="0.2">
      <c r="B61">
        <v>0.46666770000000002</v>
      </c>
      <c r="C61">
        <v>0.28353200000000001</v>
      </c>
    </row>
    <row r="62" spans="2:3" x14ac:dyDescent="0.2">
      <c r="B62">
        <v>0.4833344</v>
      </c>
      <c r="C62">
        <v>0.28029300000000001</v>
      </c>
    </row>
    <row r="63" spans="2:3" x14ac:dyDescent="0.2">
      <c r="B63">
        <v>0.50000109999999998</v>
      </c>
      <c r="C63">
        <v>0.28057700000000002</v>
      </c>
    </row>
    <row r="64" spans="2:3" x14ac:dyDescent="0.2">
      <c r="B64">
        <v>0.51666780000000001</v>
      </c>
      <c r="C64">
        <v>0.28172900000000001</v>
      </c>
    </row>
    <row r="65" spans="2:3" x14ac:dyDescent="0.2">
      <c r="B65">
        <v>0.53333450000000004</v>
      </c>
      <c r="C65">
        <v>0.286277</v>
      </c>
    </row>
    <row r="66" spans="2:3" x14ac:dyDescent="0.2">
      <c r="B66">
        <v>0.55000119999999997</v>
      </c>
      <c r="C66">
        <v>0.28257700000000002</v>
      </c>
    </row>
    <row r="67" spans="2:3" x14ac:dyDescent="0.2">
      <c r="B67">
        <v>0.5666679</v>
      </c>
      <c r="C67">
        <v>0.28683399999999998</v>
      </c>
    </row>
    <row r="68" spans="2:3" x14ac:dyDescent="0.2">
      <c r="B68">
        <v>0.58333460000000004</v>
      </c>
      <c r="C68">
        <v>0.284553</v>
      </c>
    </row>
    <row r="69" spans="2:3" x14ac:dyDescent="0.2">
      <c r="B69">
        <v>0.60000129999999996</v>
      </c>
      <c r="C69">
        <v>0.28878100000000001</v>
      </c>
    </row>
    <row r="70" spans="2:3" x14ac:dyDescent="0.2">
      <c r="B70">
        <v>0.61666799999999999</v>
      </c>
      <c r="C70">
        <v>0.28358</v>
      </c>
    </row>
    <row r="71" spans="2:3" x14ac:dyDescent="0.2">
      <c r="B71">
        <v>0.63333479999999998</v>
      </c>
      <c r="C71">
        <v>0.28293400000000002</v>
      </c>
    </row>
    <row r="72" spans="2:3" x14ac:dyDescent="0.2">
      <c r="B72">
        <v>0.65000150000000001</v>
      </c>
      <c r="C72">
        <v>0.27853299999999998</v>
      </c>
    </row>
    <row r="73" spans="2:3" x14ac:dyDescent="0.2">
      <c r="B73">
        <v>0.66666820000000004</v>
      </c>
      <c r="C73">
        <v>0.28142499999999998</v>
      </c>
    </row>
    <row r="74" spans="2:3" x14ac:dyDescent="0.2">
      <c r="B74">
        <v>0.68333489999999997</v>
      </c>
      <c r="C74">
        <v>0.27889599999999998</v>
      </c>
    </row>
    <row r="75" spans="2:3" x14ac:dyDescent="0.2">
      <c r="B75">
        <v>0.7000016</v>
      </c>
      <c r="C75">
        <v>0.27975100000000003</v>
      </c>
    </row>
    <row r="76" spans="2:3" x14ac:dyDescent="0.2">
      <c r="B76">
        <v>0.71666830000000004</v>
      </c>
      <c r="C76">
        <v>0.28208699999999998</v>
      </c>
    </row>
    <row r="77" spans="2:3" x14ac:dyDescent="0.2">
      <c r="B77">
        <v>0.73333499999999996</v>
      </c>
      <c r="C77">
        <v>0.27970600000000001</v>
      </c>
    </row>
    <row r="78" spans="2:3" x14ac:dyDescent="0.2">
      <c r="B78">
        <v>0.75000169999999999</v>
      </c>
      <c r="C78">
        <v>0.281667</v>
      </c>
    </row>
    <row r="79" spans="2:3" x14ac:dyDescent="0.2">
      <c r="B79">
        <v>0.76666840000000003</v>
      </c>
      <c r="C79">
        <v>0.28535199999999999</v>
      </c>
    </row>
    <row r="80" spans="2:3" x14ac:dyDescent="0.2">
      <c r="B80">
        <v>0.78333509999999995</v>
      </c>
      <c r="C80">
        <v>0.28020299999999998</v>
      </c>
    </row>
    <row r="94" spans="4:4" x14ac:dyDescent="0.2">
      <c r="D94" t="s">
        <v>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7184-5664-0043-A39D-58B438FC3F53}">
  <dimension ref="B2:F94"/>
  <sheetViews>
    <sheetView topLeftCell="A9" workbookViewId="0">
      <selection activeCell="F37" sqref="F37"/>
    </sheetView>
  </sheetViews>
  <sheetFormatPr baseColWidth="10" defaultRowHeight="16" x14ac:dyDescent="0.2"/>
  <cols>
    <col min="2" max="2" width="23.83203125" bestFit="1" customWidth="1"/>
    <col min="3" max="3" width="13.33203125" bestFit="1" customWidth="1"/>
    <col min="4" max="4" width="18" bestFit="1" customWidth="1"/>
    <col min="5" max="5" width="13.33203125" bestFit="1" customWidth="1"/>
    <col min="6" max="6" width="12.1640625" customWidth="1"/>
  </cols>
  <sheetData>
    <row r="2" spans="2:4" x14ac:dyDescent="0.2">
      <c r="B2" t="s">
        <v>0</v>
      </c>
      <c r="D2" t="s">
        <v>40</v>
      </c>
    </row>
    <row r="3" spans="2:4" x14ac:dyDescent="0.2">
      <c r="B3" t="s">
        <v>2</v>
      </c>
      <c r="C3">
        <v>2585</v>
      </c>
    </row>
    <row r="4" spans="2:4" x14ac:dyDescent="0.2">
      <c r="B4" t="s">
        <v>3</v>
      </c>
      <c r="C4" s="1">
        <v>0.76127314814814817</v>
      </c>
    </row>
    <row r="5" spans="2:4" x14ac:dyDescent="0.2">
      <c r="B5" t="s">
        <v>4</v>
      </c>
      <c r="C5" t="s">
        <v>2</v>
      </c>
    </row>
    <row r="6" spans="2:4" x14ac:dyDescent="0.2">
      <c r="B6" t="s">
        <v>5</v>
      </c>
      <c r="C6" t="s">
        <v>6</v>
      </c>
    </row>
    <row r="7" spans="2:4" x14ac:dyDescent="0.2">
      <c r="B7" t="s">
        <v>7</v>
      </c>
      <c r="C7">
        <v>2585</v>
      </c>
    </row>
    <row r="8" spans="2:4" x14ac:dyDescent="0.2">
      <c r="B8" t="s">
        <v>8</v>
      </c>
      <c r="C8" s="2">
        <v>45965</v>
      </c>
    </row>
    <row r="9" spans="2:4" x14ac:dyDescent="0.2">
      <c r="B9" t="s">
        <v>9</v>
      </c>
      <c r="C9" s="1">
        <v>0.76065972222222222</v>
      </c>
    </row>
    <row r="10" spans="2:4" x14ac:dyDescent="0.2">
      <c r="B10" t="s">
        <v>10</v>
      </c>
    </row>
    <row r="11" spans="2:4" x14ac:dyDescent="0.2">
      <c r="B11" s="3">
        <v>45965.700185185182</v>
      </c>
    </row>
    <row r="12" spans="2:4" x14ac:dyDescent="0.2">
      <c r="B12" t="s">
        <v>11</v>
      </c>
      <c r="C12" t="s">
        <v>12</v>
      </c>
    </row>
    <row r="13" spans="2:4" x14ac:dyDescent="0.2">
      <c r="B13" t="s">
        <v>13</v>
      </c>
      <c r="C13">
        <v>1</v>
      </c>
    </row>
    <row r="14" spans="2:4" x14ac:dyDescent="0.2">
      <c r="B14" t="s">
        <v>14</v>
      </c>
    </row>
    <row r="15" spans="2:4" x14ac:dyDescent="0.2">
      <c r="B15" t="s">
        <v>15</v>
      </c>
      <c r="C15" t="s">
        <v>16</v>
      </c>
    </row>
    <row r="16" spans="2:4" x14ac:dyDescent="0.2">
      <c r="B16" t="s">
        <v>17</v>
      </c>
      <c r="C16" t="s">
        <v>18</v>
      </c>
    </row>
    <row r="17" spans="2:5" x14ac:dyDescent="0.2">
      <c r="B17" t="s">
        <v>19</v>
      </c>
      <c r="C17" t="s">
        <v>20</v>
      </c>
    </row>
    <row r="18" spans="2:5" x14ac:dyDescent="0.2">
      <c r="B18" t="s">
        <v>21</v>
      </c>
      <c r="C18" t="s">
        <v>22</v>
      </c>
    </row>
    <row r="19" spans="2:5" x14ac:dyDescent="0.2">
      <c r="B19" t="s">
        <v>23</v>
      </c>
      <c r="C19">
        <v>60</v>
      </c>
    </row>
    <row r="21" spans="2:5" x14ac:dyDescent="0.2">
      <c r="B21" t="s">
        <v>24</v>
      </c>
      <c r="C21">
        <v>6</v>
      </c>
    </row>
    <row r="22" spans="2:5" x14ac:dyDescent="0.2">
      <c r="B22" t="s">
        <v>25</v>
      </c>
      <c r="C22" t="s">
        <v>26</v>
      </c>
      <c r="D22" t="s">
        <v>27</v>
      </c>
    </row>
    <row r="23" spans="2:5" x14ac:dyDescent="0.2">
      <c r="B23" t="s">
        <v>28</v>
      </c>
      <c r="C23" t="s">
        <v>28</v>
      </c>
      <c r="D23" t="s">
        <v>28</v>
      </c>
    </row>
    <row r="24" spans="2:5" x14ac:dyDescent="0.2">
      <c r="B24">
        <v>2.1000000000000001E-2</v>
      </c>
      <c r="C24">
        <v>0</v>
      </c>
      <c r="D24">
        <v>2.1000000000000001E-2</v>
      </c>
    </row>
    <row r="26" spans="2:5" x14ac:dyDescent="0.2">
      <c r="B26" t="s">
        <v>29</v>
      </c>
      <c r="C26" t="s">
        <v>30</v>
      </c>
      <c r="D26" t="s">
        <v>31</v>
      </c>
    </row>
    <row r="27" spans="2:5" x14ac:dyDescent="0.2">
      <c r="B27" t="s">
        <v>32</v>
      </c>
    </row>
    <row r="28" spans="2:5" x14ac:dyDescent="0.2">
      <c r="B28">
        <v>-0.318</v>
      </c>
      <c r="C28">
        <v>0</v>
      </c>
      <c r="D28">
        <v>0.37619999999999998</v>
      </c>
    </row>
    <row r="29" spans="2:5" x14ac:dyDescent="0.2">
      <c r="B29" t="s">
        <v>33</v>
      </c>
      <c r="C29" t="s">
        <v>34</v>
      </c>
    </row>
    <row r="30" spans="2:5" x14ac:dyDescent="0.2">
      <c r="B30" t="s">
        <v>35</v>
      </c>
      <c r="C30" t="s">
        <v>28</v>
      </c>
    </row>
    <row r="31" spans="2:5" x14ac:dyDescent="0.2">
      <c r="B31" s="1">
        <v>3.4722222222222224E-4</v>
      </c>
      <c r="C31">
        <v>0.35799999999999998</v>
      </c>
    </row>
    <row r="32" spans="2:5" x14ac:dyDescent="0.2">
      <c r="B32" t="s">
        <v>36</v>
      </c>
      <c r="C32" t="s">
        <v>37</v>
      </c>
      <c r="D32" t="s">
        <v>36</v>
      </c>
      <c r="E32" t="s">
        <v>37</v>
      </c>
    </row>
    <row r="33" spans="2:6" x14ac:dyDescent="0.2">
      <c r="B33">
        <v>0</v>
      </c>
      <c r="C33">
        <v>2.10317E-2</v>
      </c>
      <c r="D33">
        <v>0.5</v>
      </c>
      <c r="E33">
        <v>0</v>
      </c>
    </row>
    <row r="34" spans="2:6" x14ac:dyDescent="0.2">
      <c r="B34">
        <v>1.66667E-2</v>
      </c>
      <c r="C34">
        <v>0.31109900000000001</v>
      </c>
      <c r="D34">
        <v>0.5</v>
      </c>
      <c r="E34">
        <v>0.37231700000000001</v>
      </c>
    </row>
    <row r="35" spans="2:6" x14ac:dyDescent="0.2">
      <c r="B35">
        <v>3.3333399999999999E-2</v>
      </c>
      <c r="C35">
        <v>0.34043400000000001</v>
      </c>
    </row>
    <row r="36" spans="2:6" x14ac:dyDescent="0.2">
      <c r="B36">
        <v>5.0000099999999999E-2</v>
      </c>
      <c r="C36">
        <v>0.35397000000000001</v>
      </c>
      <c r="F36" t="s">
        <v>41</v>
      </c>
    </row>
    <row r="37" spans="2:6" x14ac:dyDescent="0.2">
      <c r="B37">
        <v>6.6666799999999998E-2</v>
      </c>
      <c r="C37">
        <v>0.35188000000000003</v>
      </c>
      <c r="F37" s="4">
        <f>((C34-C33)/(B34*Thermo!J15))*1000</f>
        <v>0.79885502340442416</v>
      </c>
    </row>
    <row r="38" spans="2:6" x14ac:dyDescent="0.2">
      <c r="B38">
        <v>8.3333489999999996E-2</v>
      </c>
      <c r="C38">
        <v>0.35521000000000003</v>
      </c>
    </row>
    <row r="39" spans="2:6" x14ac:dyDescent="0.2">
      <c r="B39">
        <v>0.1000002</v>
      </c>
      <c r="C39">
        <v>0.35655500000000001</v>
      </c>
    </row>
    <row r="40" spans="2:6" x14ac:dyDescent="0.2">
      <c r="B40">
        <v>0.1166669</v>
      </c>
      <c r="C40">
        <v>0.35496699999999998</v>
      </c>
    </row>
    <row r="41" spans="2:6" x14ac:dyDescent="0.2">
      <c r="B41">
        <v>0.1333336</v>
      </c>
      <c r="C41">
        <v>0.35831499999999999</v>
      </c>
    </row>
    <row r="42" spans="2:6" x14ac:dyDescent="0.2">
      <c r="B42">
        <v>0.1500003</v>
      </c>
      <c r="C42">
        <v>0.363207</v>
      </c>
    </row>
    <row r="43" spans="2:6" x14ac:dyDescent="0.2">
      <c r="B43">
        <v>0.16666700000000001</v>
      </c>
      <c r="C43">
        <v>0.36382799999999998</v>
      </c>
    </row>
    <row r="44" spans="2:6" x14ac:dyDescent="0.2">
      <c r="B44">
        <v>0.18333369999999999</v>
      </c>
      <c r="C44">
        <v>0.36144300000000001</v>
      </c>
    </row>
    <row r="45" spans="2:6" x14ac:dyDescent="0.2">
      <c r="B45">
        <v>0.20000039999999999</v>
      </c>
      <c r="C45">
        <v>0.367232</v>
      </c>
    </row>
    <row r="46" spans="2:6" x14ac:dyDescent="0.2">
      <c r="B46">
        <v>0.2166671</v>
      </c>
      <c r="C46">
        <v>0.36742999999999998</v>
      </c>
    </row>
    <row r="47" spans="2:6" x14ac:dyDescent="0.2">
      <c r="B47">
        <v>0.23333380000000001</v>
      </c>
      <c r="C47">
        <v>0.36762299999999998</v>
      </c>
    </row>
    <row r="48" spans="2:6" x14ac:dyDescent="0.2">
      <c r="B48">
        <v>0.25000040000000001</v>
      </c>
      <c r="C48">
        <v>0.36403400000000002</v>
      </c>
    </row>
    <row r="49" spans="2:3" x14ac:dyDescent="0.2">
      <c r="B49">
        <v>0.26666719999999999</v>
      </c>
      <c r="C49">
        <v>0.365954</v>
      </c>
    </row>
    <row r="50" spans="2:3" x14ac:dyDescent="0.2">
      <c r="B50">
        <v>0.28333390000000003</v>
      </c>
      <c r="C50">
        <v>0.36454599999999998</v>
      </c>
    </row>
    <row r="51" spans="2:3" x14ac:dyDescent="0.2">
      <c r="B51">
        <v>0.30000060000000001</v>
      </c>
      <c r="C51">
        <v>0.36734899999999998</v>
      </c>
    </row>
    <row r="52" spans="2:3" x14ac:dyDescent="0.2">
      <c r="B52">
        <v>0.31666729999999998</v>
      </c>
      <c r="C52">
        <v>0.37205199999999999</v>
      </c>
    </row>
    <row r="53" spans="2:3" x14ac:dyDescent="0.2">
      <c r="B53">
        <v>0.33333400000000002</v>
      </c>
      <c r="C53">
        <v>0.371174</v>
      </c>
    </row>
    <row r="54" spans="2:3" x14ac:dyDescent="0.2">
      <c r="B54">
        <v>0.3500007</v>
      </c>
      <c r="C54">
        <v>0.366562</v>
      </c>
    </row>
    <row r="55" spans="2:3" x14ac:dyDescent="0.2">
      <c r="B55">
        <v>0.36666739999999998</v>
      </c>
      <c r="C55">
        <v>0.36922700000000003</v>
      </c>
    </row>
    <row r="56" spans="2:3" x14ac:dyDescent="0.2">
      <c r="B56">
        <v>0.38333410000000001</v>
      </c>
      <c r="C56">
        <v>0.36580699999999999</v>
      </c>
    </row>
    <row r="57" spans="2:3" x14ac:dyDescent="0.2">
      <c r="B57">
        <v>0.40000079999999999</v>
      </c>
      <c r="C57">
        <v>0.366817</v>
      </c>
    </row>
    <row r="58" spans="2:3" x14ac:dyDescent="0.2">
      <c r="B58">
        <v>0.41666760000000003</v>
      </c>
      <c r="C58">
        <v>0.36790899999999999</v>
      </c>
    </row>
    <row r="59" spans="2:3" x14ac:dyDescent="0.2">
      <c r="B59">
        <v>0.43333430000000001</v>
      </c>
      <c r="C59">
        <v>0.37040899999999999</v>
      </c>
    </row>
    <row r="60" spans="2:3" x14ac:dyDescent="0.2">
      <c r="B60">
        <v>0.45000099999999998</v>
      </c>
      <c r="C60">
        <v>0.37231700000000001</v>
      </c>
    </row>
    <row r="61" spans="2:3" x14ac:dyDescent="0.2">
      <c r="B61">
        <v>0.46666770000000002</v>
      </c>
      <c r="C61">
        <v>0.36776399999999998</v>
      </c>
    </row>
    <row r="62" spans="2:3" x14ac:dyDescent="0.2">
      <c r="B62">
        <v>0.4833344</v>
      </c>
      <c r="C62">
        <v>0.365763</v>
      </c>
    </row>
    <row r="63" spans="2:3" x14ac:dyDescent="0.2">
      <c r="B63">
        <v>0.50000109999999998</v>
      </c>
      <c r="C63">
        <v>0.35810900000000001</v>
      </c>
    </row>
    <row r="64" spans="2:3" x14ac:dyDescent="0.2">
      <c r="B64">
        <v>0.51666780000000001</v>
      </c>
      <c r="C64">
        <v>0.36518200000000001</v>
      </c>
    </row>
    <row r="65" spans="2:3" x14ac:dyDescent="0.2">
      <c r="B65">
        <v>0.53333450000000004</v>
      </c>
      <c r="C65">
        <v>0.36435499999999998</v>
      </c>
    </row>
    <row r="66" spans="2:3" x14ac:dyDescent="0.2">
      <c r="B66">
        <v>0.55000119999999997</v>
      </c>
      <c r="C66">
        <v>0.365591</v>
      </c>
    </row>
    <row r="67" spans="2:3" x14ac:dyDescent="0.2">
      <c r="B67">
        <v>0.5666679</v>
      </c>
      <c r="C67">
        <v>0.361458</v>
      </c>
    </row>
    <row r="68" spans="2:3" x14ac:dyDescent="0.2">
      <c r="B68">
        <v>0.58333460000000004</v>
      </c>
      <c r="C68">
        <v>0.36651299999999998</v>
      </c>
    </row>
    <row r="69" spans="2:3" x14ac:dyDescent="0.2">
      <c r="B69">
        <v>0.60000129999999996</v>
      </c>
      <c r="C69">
        <v>0.36256100000000002</v>
      </c>
    </row>
    <row r="70" spans="2:3" x14ac:dyDescent="0.2">
      <c r="B70">
        <v>0.61666799999999999</v>
      </c>
      <c r="C70">
        <v>0.36754799999999999</v>
      </c>
    </row>
    <row r="71" spans="2:3" x14ac:dyDescent="0.2">
      <c r="B71">
        <v>0.63333479999999998</v>
      </c>
      <c r="C71">
        <v>0.36543799999999999</v>
      </c>
    </row>
    <row r="72" spans="2:3" x14ac:dyDescent="0.2">
      <c r="B72">
        <v>0.65000150000000001</v>
      </c>
      <c r="C72">
        <v>0.366342</v>
      </c>
    </row>
    <row r="73" spans="2:3" x14ac:dyDescent="0.2">
      <c r="B73">
        <v>0.66666820000000004</v>
      </c>
      <c r="C73">
        <v>0.36523499999999998</v>
      </c>
    </row>
    <row r="74" spans="2:3" x14ac:dyDescent="0.2">
      <c r="B74">
        <v>0.68333489999999997</v>
      </c>
      <c r="C74">
        <v>0.36169800000000002</v>
      </c>
    </row>
    <row r="75" spans="2:3" x14ac:dyDescent="0.2">
      <c r="B75">
        <v>0.7000016</v>
      </c>
      <c r="C75">
        <v>0.36931700000000001</v>
      </c>
    </row>
    <row r="76" spans="2:3" x14ac:dyDescent="0.2">
      <c r="B76">
        <v>0.71666830000000004</v>
      </c>
      <c r="C76">
        <v>0.36439300000000002</v>
      </c>
    </row>
    <row r="77" spans="2:3" x14ac:dyDescent="0.2">
      <c r="B77">
        <v>0.73333499999999996</v>
      </c>
      <c r="C77">
        <v>0.36507899999999999</v>
      </c>
    </row>
    <row r="78" spans="2:3" x14ac:dyDescent="0.2">
      <c r="B78">
        <v>0.75000169999999999</v>
      </c>
      <c r="C78">
        <v>0.36109599999999997</v>
      </c>
    </row>
    <row r="79" spans="2:3" x14ac:dyDescent="0.2">
      <c r="B79">
        <v>0.76666840000000003</v>
      </c>
      <c r="C79">
        <v>0.36128300000000002</v>
      </c>
    </row>
    <row r="80" spans="2:3" x14ac:dyDescent="0.2">
      <c r="B80">
        <v>0.78333509999999995</v>
      </c>
      <c r="C80">
        <v>0.36530400000000002</v>
      </c>
    </row>
    <row r="94" spans="4:4" x14ac:dyDescent="0.2">
      <c r="D94" t="s">
        <v>2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Thermo</vt:lpstr>
      <vt:lpstr>Kinetics</vt:lpstr>
      <vt:lpstr>Std1csv</vt:lpstr>
      <vt:lpstr>Std2csv</vt:lpstr>
      <vt:lpstr>Std3csv</vt:lpstr>
      <vt:lpstr>Std4csv</vt:lpstr>
      <vt:lpstr>Std1csv!standard1</vt:lpstr>
      <vt:lpstr>Std2csv!std2_</vt:lpstr>
      <vt:lpstr>Std3csv!std3_</vt:lpstr>
      <vt:lpstr>Std4csv!std4_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jhoneyma@student.ubc.ca</dc:creator>
  <cp:lastModifiedBy>jhoneyma@student.ubc.ca</cp:lastModifiedBy>
  <cp:lastPrinted>2025-11-30T01:39:40Z</cp:lastPrinted>
  <dcterms:created xsi:type="dcterms:W3CDTF">2025-11-06T05:15:42Z</dcterms:created>
  <dcterms:modified xsi:type="dcterms:W3CDTF">2025-12-01T17:42:16Z</dcterms:modified>
</cp:coreProperties>
</file>